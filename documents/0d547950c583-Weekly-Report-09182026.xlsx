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super-fs\Shared2\Users\JaneH\Report\2026 Report\Weekly revenue report\"/>
    </mc:Choice>
  </mc:AlternateContent>
  <xr:revisionPtr revIDLastSave="0" documentId="13_ncr:1_{AB881426-BA7B-430A-A6F3-50931F21B2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 overview" sheetId="10" r:id="rId1"/>
    <sheet name="MS Monthly SOR" sheetId="6" r:id="rId2"/>
    <sheet name="Others-Monthly SOR" sheetId="8" r:id="rId3"/>
    <sheet name="2026 Goal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8" l="1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21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3" i="8"/>
  <c r="N38" i="8"/>
  <c r="N7" i="10" s="1"/>
  <c r="O7" i="10" s="1"/>
  <c r="N20" i="8"/>
  <c r="N4" i="10" s="1"/>
  <c r="O4" i="10" s="1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21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3" i="8"/>
  <c r="P6" i="6"/>
  <c r="P4" i="6"/>
  <c r="P3" i="6"/>
  <c r="O6" i="6"/>
  <c r="O4" i="6"/>
  <c r="O3" i="6"/>
  <c r="N7" i="6"/>
  <c r="N6" i="10" s="1"/>
  <c r="N5" i="6"/>
  <c r="N3" i="10" s="1"/>
  <c r="M21" i="8"/>
  <c r="M38" i="8" s="1"/>
  <c r="M7" i="10" s="1"/>
  <c r="M3" i="8"/>
  <c r="M20" i="8" s="1"/>
  <c r="M4" i="10" s="1"/>
  <c r="M7" i="6"/>
  <c r="M5" i="6"/>
  <c r="M3" i="10" s="1"/>
  <c r="L7" i="6"/>
  <c r="L8" i="6" s="1"/>
  <c r="L38" i="8"/>
  <c r="L7" i="10" s="1"/>
  <c r="L20" i="8"/>
  <c r="L4" i="10" s="1"/>
  <c r="L5" i="6"/>
  <c r="L3" i="10" s="1"/>
  <c r="K27" i="8"/>
  <c r="K9" i="8"/>
  <c r="B20" i="8"/>
  <c r="F20" i="8"/>
  <c r="I20" i="8"/>
  <c r="B38" i="8"/>
  <c r="F38" i="8"/>
  <c r="I38" i="8"/>
  <c r="K7" i="6"/>
  <c r="K8" i="6" s="1"/>
  <c r="J21" i="8"/>
  <c r="J38" i="8" s="1"/>
  <c r="J7" i="10" s="1"/>
  <c r="J3" i="8"/>
  <c r="K5" i="6"/>
  <c r="K3" i="10" s="1"/>
  <c r="J7" i="6"/>
  <c r="J8" i="6" s="1"/>
  <c r="J5" i="6"/>
  <c r="J3" i="10" s="1"/>
  <c r="I5" i="6"/>
  <c r="I3" i="10" s="1"/>
  <c r="N8" i="6" l="1"/>
  <c r="O7" i="6"/>
  <c r="P7" i="6"/>
  <c r="O6" i="10"/>
  <c r="N8" i="10"/>
  <c r="N5" i="10"/>
  <c r="O3" i="10"/>
  <c r="K38" i="8"/>
  <c r="K7" i="10" s="1"/>
  <c r="O20" i="8"/>
  <c r="M8" i="6"/>
  <c r="M6" i="10"/>
  <c r="M5" i="10"/>
  <c r="K20" i="8"/>
  <c r="K4" i="10" s="1"/>
  <c r="K5" i="10" s="1"/>
  <c r="L6" i="10"/>
  <c r="L8" i="10" s="1"/>
  <c r="L5" i="10"/>
  <c r="O38" i="8"/>
  <c r="J20" i="8"/>
  <c r="J4" i="10" s="1"/>
  <c r="J5" i="10" s="1"/>
  <c r="K6" i="10"/>
  <c r="K8" i="10" s="1"/>
  <c r="J6" i="10"/>
  <c r="I9" i="15"/>
  <c r="C8" i="15"/>
  <c r="I7" i="10"/>
  <c r="I4" i="10"/>
  <c r="I7" i="6"/>
  <c r="H21" i="8"/>
  <c r="H3" i="8"/>
  <c r="H26" i="8"/>
  <c r="H7" i="6"/>
  <c r="H8" i="6" s="1"/>
  <c r="H5" i="6"/>
  <c r="H3" i="10" s="1"/>
  <c r="K9" i="15"/>
  <c r="M8" i="15"/>
  <c r="M10" i="15" s="1"/>
  <c r="L8" i="15"/>
  <c r="G21" i="8"/>
  <c r="G3" i="8"/>
  <c r="G20" i="8" s="1"/>
  <c r="G30" i="8"/>
  <c r="G7" i="6"/>
  <c r="G5" i="6"/>
  <c r="G3" i="10" s="1"/>
  <c r="F7" i="10"/>
  <c r="F4" i="10"/>
  <c r="B7" i="10"/>
  <c r="F7" i="6"/>
  <c r="F8" i="6" s="1"/>
  <c r="F5" i="6"/>
  <c r="F3" i="10" s="1"/>
  <c r="E30" i="8"/>
  <c r="E12" i="8"/>
  <c r="E10" i="8"/>
  <c r="E28" i="8"/>
  <c r="E7" i="6"/>
  <c r="E8" i="6" s="1"/>
  <c r="E5" i="6"/>
  <c r="E3" i="10" s="1"/>
  <c r="D21" i="8"/>
  <c r="D38" i="8" s="1"/>
  <c r="D3" i="8"/>
  <c r="D20" i="8" s="1"/>
  <c r="C21" i="8"/>
  <c r="D7" i="6"/>
  <c r="D8" i="6" s="1"/>
  <c r="D5" i="6"/>
  <c r="D3" i="10" s="1"/>
  <c r="C3" i="8"/>
  <c r="C20" i="8" s="1"/>
  <c r="C7" i="6"/>
  <c r="C8" i="6" s="1"/>
  <c r="C5" i="6"/>
  <c r="C3" i="10" s="1"/>
  <c r="N6" i="15"/>
  <c r="B4" i="10"/>
  <c r="B5" i="6"/>
  <c r="B3" i="10" s="1"/>
  <c r="B7" i="6"/>
  <c r="C38" i="8" l="1"/>
  <c r="H38" i="8"/>
  <c r="H7" i="10" s="1"/>
  <c r="G38" i="8"/>
  <c r="M8" i="10"/>
  <c r="E38" i="8"/>
  <c r="E7" i="10" s="1"/>
  <c r="E20" i="8"/>
  <c r="H20" i="8"/>
  <c r="H4" i="10" s="1"/>
  <c r="H5" i="10" s="1"/>
  <c r="M9" i="15"/>
  <c r="J8" i="10"/>
  <c r="I6" i="10"/>
  <c r="I8" i="6"/>
  <c r="I5" i="10"/>
  <c r="H6" i="10"/>
  <c r="G6" i="10"/>
  <c r="G4" i="10"/>
  <c r="G7" i="10"/>
  <c r="G8" i="6"/>
  <c r="J9" i="15"/>
  <c r="E4" i="10"/>
  <c r="E5" i="10" s="1"/>
  <c r="D7" i="10"/>
  <c r="L9" i="15"/>
  <c r="D8" i="15"/>
  <c r="F6" i="10"/>
  <c r="F8" i="10" s="1"/>
  <c r="F5" i="10"/>
  <c r="D9" i="15"/>
  <c r="E6" i="10"/>
  <c r="C6" i="10"/>
  <c r="C7" i="10"/>
  <c r="D4" i="10"/>
  <c r="D6" i="10"/>
  <c r="C4" i="10"/>
  <c r="B8" i="6"/>
  <c r="B6" i="10"/>
  <c r="P20" i="8" l="1"/>
  <c r="P38" i="8"/>
  <c r="I8" i="10"/>
  <c r="H8" i="10"/>
  <c r="G9" i="15"/>
  <c r="G5" i="10"/>
  <c r="G8" i="10"/>
  <c r="D5" i="10"/>
  <c r="E8" i="10"/>
  <c r="F9" i="15" l="1"/>
  <c r="H9" i="15"/>
  <c r="C9" i="15" l="1"/>
  <c r="E9" i="15" l="1"/>
  <c r="O8" i="10"/>
  <c r="I8" i="15"/>
  <c r="I7" i="15"/>
  <c r="A1" i="6"/>
  <c r="A1" i="8" s="1"/>
  <c r="C7" i="15"/>
  <c r="D7" i="15"/>
  <c r="E7" i="15"/>
  <c r="F7" i="15"/>
  <c r="G7" i="15"/>
  <c r="H7" i="15"/>
  <c r="K7" i="15"/>
  <c r="J7" i="15"/>
  <c r="L7" i="15"/>
  <c r="B7" i="15"/>
  <c r="O8" i="6" l="1"/>
  <c r="B8" i="15" s="1"/>
  <c r="I10" i="15"/>
  <c r="N7" i="15" l="1"/>
  <c r="H8" i="15" l="1"/>
  <c r="K8" i="15"/>
  <c r="C8" i="10" l="1"/>
  <c r="B8" i="10"/>
  <c r="D8" i="10" l="1"/>
  <c r="J8" i="15"/>
  <c r="J10" i="15" s="1"/>
  <c r="K10" i="15" l="1"/>
  <c r="F8" i="15"/>
  <c r="F10" i="15" s="1"/>
  <c r="G8" i="15"/>
  <c r="G10" i="15" s="1"/>
  <c r="H10" i="15"/>
  <c r="C10" i="15" l="1"/>
  <c r="D10" i="15"/>
  <c r="E8" i="15" l="1"/>
  <c r="L10" i="15"/>
  <c r="E10" i="15" l="1"/>
  <c r="P5" i="6"/>
  <c r="O5" i="6"/>
  <c r="P8" i="6"/>
  <c r="B9" i="15" s="1"/>
  <c r="N9" i="15" s="1"/>
  <c r="C5" i="10" l="1"/>
  <c r="B5" i="10"/>
  <c r="N8" i="15"/>
  <c r="B10" i="15" l="1"/>
  <c r="N10" i="15"/>
  <c r="O5" i="10" l="1"/>
  <c r="P6" i="10" l="1"/>
  <c r="P7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tc={B5C550AD-717C-4C9A-B502-222C6293C2EE}</author>
    <author>tc={E5EE1A1D-CBA1-44F4-857C-C0D26FEE3FB2}</author>
    <author>tc={F6F952BA-E8DC-40BB-8406-35A95AD584C3}</author>
    <author>tc={B0EB7FA7-D7C1-4B95-8631-F611C28BE4AD}</author>
    <author>tc={FD683053-D6B1-49F7-A0EB-67097B26C9D6}</author>
    <author>tc={1AAB6561-8D34-45D3-AD83-7B8B643FF9F7}</author>
    <author>tc={F9B7DAA8-9DD4-4B7A-8FCA-8C7840832272}</author>
    <author>tc={FA10FAA4-B0BD-4B81-8D75-BB2C16CE3984}</author>
    <author>tc={43E2BAC0-4D77-465B-B5A4-41A6BE9E91CC}</author>
    <author>tc={087B9913-EFA3-4923-A412-164C2D820F8E}</author>
    <author>tc={6CC929D9-1ABE-4953-B60D-3DA23277D267}</author>
    <author>tc={26B27B9F-2DD7-4B2A-993F-0CAEC46692C6}</author>
    <author>tc={B5A1BAD3-2F90-4925-8CD8-006D649525DC}</author>
  </authors>
  <commentList>
    <comment ref="C5" authorId="0" shapeId="0" xr:uid="{B5C550AD-717C-4C9A-B502-222C6293C2EE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8801545119  * 6</t>
      </text>
    </comment>
    <comment ref="K5" authorId="1" shapeId="0" xr:uid="{E5EE1A1D-CBA1-44F4-857C-C0D26FEE3FB2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8801631575  - 15
8801611947  - 12
8801627115  - 6</t>
      </text>
    </comment>
    <comment ref="E15" authorId="2" shapeId="0" xr:uid="{F6F952BA-E8DC-40BB-8406-35A95AD584C3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8801506222 -43x</t>
      </text>
    </comment>
    <comment ref="K15" authorId="3" shapeId="0" xr:uid="{B0EB7FA7-D7C1-4B95-8631-F611C28BE4AD}">
      <text>
        <t>[Threaded comment]
Your version of Excel allows you to read this threaded comment; however, any edits to it will get removed if the file is opened in a newer version of Excel. Learn more: https://go.microsoft.com/fwlink/?linkid=870924
Comment:
    2003 - 8801611243 (SYNOPSYS)</t>
      </text>
    </comment>
    <comment ref="L15" authorId="4" shapeId="0" xr:uid="{FD683053-D6B1-49F7-A0EB-67097B26C9D6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8801582498 - 40951
8801593917  - 2206
8801637414  - 1</t>
      </text>
    </comment>
    <comment ref="M15" authorId="5" shapeId="0" xr:uid="{1AAB6561-8D34-45D3-AD83-7B8B643FF9F7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8801619028  - 17601 (Graphcore)</t>
      </text>
    </comment>
    <comment ref="N15" authorId="6" shapeId="0" xr:uid="{F9B7DAA8-9DD4-4B7A-8FCA-8C7840832272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8801624525 - 1780
8801624789 - 5801</t>
      </text>
    </comment>
    <comment ref="K23" authorId="7" shapeId="0" xr:uid="{FA10FAA4-B0BD-4B81-8D75-BB2C16CE3984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8801631575  - $ 93,480 
8801611947  - ?
8801627115  - $ 11,216</t>
      </text>
    </comment>
    <comment ref="E33" authorId="8" shapeId="0" xr:uid="{43E2BAC0-4D77-465B-B5A4-41A6BE9E91CC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8801506222 - $ 110,660</t>
      </text>
    </comment>
    <comment ref="K33" authorId="9" shapeId="0" xr:uid="{087B9913-EFA3-4923-A412-164C2D820F8E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8801611243 - $554,068  (SYNOPSYS )</t>
      </text>
    </comment>
    <comment ref="L33" authorId="10" shapeId="0" xr:uid="{6CC929D9-1ABE-4953-B60D-3DA23277D2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8801582498 - $ 180,096
8801593917  -$ 464,084  
8801637414  -$ 30.464 
</t>
      </text>
    </comment>
    <comment ref="M33" authorId="11" shapeId="0" xr:uid="{26B27B9F-2DD7-4B2A-993F-0CAEC46692C6}">
      <text>
        <t>[Threaded comment]
Your version of Excel allows you to read this threaded comment; however, any edits to it will get removed if the file is opened in a newer version of Excel. Learn more: https://go.microsoft.com/fwlink/?linkid=870924
Comment:
    8801619028 - $ 3,421,680  (Graphcore)</t>
      </text>
    </comment>
    <comment ref="N33" authorId="12" shapeId="0" xr:uid="{B5A1BAD3-2F90-4925-8CD8-006D649525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8801624525 - $ 707,955 
8801624789 - $ 4,563,292
</t>
      </text>
    </comment>
  </commentList>
</comments>
</file>

<file path=xl/sharedStrings.xml><?xml version="1.0" encoding="utf-8"?>
<sst xmlns="http://schemas.openxmlformats.org/spreadsheetml/2006/main" count="100" uniqueCount="87">
  <si>
    <t>Monthly</t>
  </si>
  <si>
    <t>SFT-MS QTY</t>
  </si>
  <si>
    <t>CDR-MS QTY</t>
  </si>
  <si>
    <t>SFT-MS sales ($)</t>
  </si>
  <si>
    <t>CDR-MS sales ($)</t>
  </si>
  <si>
    <t>Total qty</t>
  </si>
  <si>
    <t>Total sales</t>
  </si>
  <si>
    <t>MS Total qty</t>
  </si>
  <si>
    <t>MS Total sales</t>
  </si>
  <si>
    <t>TOTAL  QTY</t>
  </si>
  <si>
    <t>TOTAL SALES</t>
  </si>
  <si>
    <t>Other Total qty</t>
  </si>
  <si>
    <t>Other Total sales</t>
  </si>
  <si>
    <t>Solution Team</t>
  </si>
  <si>
    <t>Arch Team</t>
  </si>
  <si>
    <t>Microsoft (OS)</t>
  </si>
  <si>
    <t>Red Hat (RHEL)</t>
  </si>
  <si>
    <t>WekaIO</t>
  </si>
  <si>
    <t>Qumulo</t>
  </si>
  <si>
    <t xml:space="preserve">Total </t>
  </si>
  <si>
    <t xml:space="preserve">Solution Owner </t>
  </si>
  <si>
    <t>Operating System (OS) and Resell Only SW</t>
  </si>
  <si>
    <t>SW Validation and Tech Support</t>
  </si>
  <si>
    <t>SW Vendor</t>
  </si>
  <si>
    <t>SW Category</t>
  </si>
  <si>
    <t>Quarter to Date</t>
  </si>
  <si>
    <t xml:space="preserve"> </t>
  </si>
  <si>
    <t>Edge Cloud Solution</t>
  </si>
  <si>
    <t>Arch</t>
  </si>
  <si>
    <t>OSNexus</t>
  </si>
  <si>
    <t>WK qty - SFT-WK + SVC-WK</t>
  </si>
  <si>
    <t>Quantum - SFT-QT + SVC-QT</t>
  </si>
  <si>
    <t>PICA8 - SFT-PIC + SVC-PIC</t>
  </si>
  <si>
    <t>PICA8 - SFT-PIC + SVC-PIC ($)</t>
  </si>
  <si>
    <t>WK Sales - SFT-WK + SVC-WK ($)</t>
  </si>
  <si>
    <t>SUSE - SFT-SS + SVC-SS</t>
  </si>
  <si>
    <t xml:space="preserve">SS Sales - SFT-SS + SVC-SS ($) </t>
  </si>
  <si>
    <t>CNC Sales - SVC-CNC ($)</t>
  </si>
  <si>
    <t>RedHat - SFT-RH + SVC-RH</t>
  </si>
  <si>
    <t>RedHat Sales - SFT-RH + SVC-RH ($)</t>
  </si>
  <si>
    <t>OSnexus - SFT-ON + SVC-ON</t>
  </si>
  <si>
    <t>OSnexus Sales - SFT-ON + SVC-ON ($)</t>
  </si>
  <si>
    <t>Scality -  SFT-SCAL + SVC-SCAL</t>
  </si>
  <si>
    <t>Scality -  SFT-SCAL + SVC-SCAL ($)</t>
  </si>
  <si>
    <t>Quantum Sales - SFT-QT + SVC-QT ($)</t>
  </si>
  <si>
    <t>Qumulo QTY - SFT-QLO + SVC-QLO</t>
  </si>
  <si>
    <t>Qumulo Sales - SFT-QLO + SVC-QLO ($)</t>
  </si>
  <si>
    <t>Software Defined Storage</t>
  </si>
  <si>
    <t>GRAID</t>
  </si>
  <si>
    <t>GRAID - SFT-GRD</t>
  </si>
  <si>
    <t>GRAID - SFT-GRD ($)</t>
  </si>
  <si>
    <t>Purchasing/System/Product Office PM Team</t>
  </si>
  <si>
    <t>Stotage Total</t>
  </si>
  <si>
    <t>Non Storage Total</t>
  </si>
  <si>
    <t xml:space="preserve">12 Months Total </t>
  </si>
  <si>
    <t>VastData - SFT-VAST + SVC-VAST</t>
  </si>
  <si>
    <t>VastData - SFT-VAST + SVC-VAST ($)</t>
  </si>
  <si>
    <t>VastData</t>
  </si>
  <si>
    <t>CNC - SFT-CNC + SVC-CNC</t>
  </si>
  <si>
    <t xml:space="preserve">Quantum AS/ Cloudian </t>
  </si>
  <si>
    <t>Others</t>
  </si>
  <si>
    <t xml:space="preserve">Vinh Nguyen </t>
  </si>
  <si>
    <t>SUSE, Canonical, and Others</t>
  </si>
  <si>
    <t>Damien Zhao</t>
  </si>
  <si>
    <t>Jane Hu/Stanley Huang/Michael Lee</t>
  </si>
  <si>
    <t>Appliance</t>
  </si>
  <si>
    <t>System Team</t>
  </si>
  <si>
    <t>DDN</t>
  </si>
  <si>
    <t>Vince Chen/Michael Ang/Claude Chen</t>
  </si>
  <si>
    <t>William Li/Sherry Lin/Junxia Zhou/Ben Lee/Tien Lee/Allen Liu</t>
  </si>
  <si>
    <t>William/Sherry/Junxia/Michael/Stanley/Jane/Ben/Tien/Allen</t>
  </si>
  <si>
    <t>DDN Appliance</t>
  </si>
  <si>
    <t>DDN Appliance ($)</t>
  </si>
  <si>
    <t>Michael Lee</t>
  </si>
  <si>
    <t>CTERA - SFT-CTERA + SVC-CTERA</t>
  </si>
  <si>
    <t>CTERA - SFT-CTERA + SVC-CTERA ($)</t>
  </si>
  <si>
    <t>CTERA</t>
  </si>
  <si>
    <t>Hammerspace - SFT-HS + SVC-HS</t>
  </si>
  <si>
    <t>Hammerspace - SFT-HS + SVC-HS ($)</t>
  </si>
  <si>
    <t>2026 Sales Goal</t>
  </si>
  <si>
    <t>2026 Total</t>
  </si>
  <si>
    <t>Xinnor - SFT-XNR + SVC-XNR</t>
  </si>
  <si>
    <t xml:space="preserve">Monitize360 - SFT-M360 </t>
  </si>
  <si>
    <t>SteelDome - SFT-SD-</t>
  </si>
  <si>
    <t>2026 Q3 Target</t>
  </si>
  <si>
    <t>2026 Q3 to Date Sold</t>
  </si>
  <si>
    <t xml:space="preserve">2026 Q3 Achieved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</si>
</sst>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_(&quot;$&quot;* #,##0.00_);_(&quot;$&quot;* \(#,##0.00\);_(&quot;$&quot;* &quot;-&quot;_);_(@_)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2"/>
      <color rgb="FF858796"/>
      <name val="Nunito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98">
    <xf numFmtId="0" fontId="0" fillId="0" borderId="0" xfId="0"/>
    <xf numFmtId="0" fontId="1" fillId="2" borderId="1" xfId="0" applyFont="1" applyFill="1" applyBorder="1"/>
    <xf numFmtId="17" fontId="1" fillId="2" borderId="1" xfId="0" applyNumberFormat="1" applyFont="1" applyFill="1" applyBorder="1" applyAlignment="1">
      <alignment wrapText="1"/>
    </xf>
    <xf numFmtId="0" fontId="1" fillId="0" borderId="1" xfId="0" applyFont="1" applyBorder="1"/>
    <xf numFmtId="1" fontId="2" fillId="0" borderId="1" xfId="0" applyNumberFormat="1" applyFont="1" applyBorder="1"/>
    <xf numFmtId="0" fontId="1" fillId="3" borderId="1" xfId="0" applyFont="1" applyFill="1" applyBorder="1"/>
    <xf numFmtId="1" fontId="0" fillId="3" borderId="1" xfId="0" applyNumberFormat="1" applyFill="1" applyBorder="1"/>
    <xf numFmtId="164" fontId="0" fillId="0" borderId="0" xfId="0" applyNumberFormat="1"/>
    <xf numFmtId="164" fontId="1" fillId="3" borderId="1" xfId="0" applyNumberFormat="1" applyFont="1" applyFill="1" applyBorder="1"/>
    <xf numFmtId="3" fontId="1" fillId="0" borderId="1" xfId="0" applyNumberFormat="1" applyFont="1" applyBorder="1"/>
    <xf numFmtId="3" fontId="0" fillId="0" borderId="0" xfId="0" applyNumberFormat="1"/>
    <xf numFmtId="3" fontId="1" fillId="0" borderId="0" xfId="0" applyNumberFormat="1" applyFont="1"/>
    <xf numFmtId="14" fontId="0" fillId="0" borderId="0" xfId="0" applyNumberFormat="1"/>
    <xf numFmtId="1" fontId="0" fillId="0" borderId="1" xfId="0" applyNumberFormat="1" applyBorder="1"/>
    <xf numFmtId="42" fontId="0" fillId="0" borderId="1" xfId="0" applyNumberFormat="1" applyBorder="1"/>
    <xf numFmtId="42" fontId="0" fillId="3" borderId="1" xfId="0" applyNumberFormat="1" applyFill="1" applyBorder="1"/>
    <xf numFmtId="164" fontId="1" fillId="0" borderId="1" xfId="0" applyNumberFormat="1" applyFont="1" applyBorder="1"/>
    <xf numFmtId="0" fontId="4" fillId="0" borderId="1" xfId="0" applyFont="1" applyBorder="1"/>
    <xf numFmtId="37" fontId="4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4" fillId="5" borderId="1" xfId="0" applyFont="1" applyFill="1" applyBorder="1" applyAlignment="1">
      <alignment horizontal="center" vertical="center" wrapText="1"/>
    </xf>
    <xf numFmtId="42" fontId="0" fillId="0" borderId="0" xfId="0" applyNumberFormat="1"/>
    <xf numFmtId="0" fontId="4" fillId="5" borderId="1" xfId="0" applyFont="1" applyFill="1" applyBorder="1" applyAlignment="1">
      <alignment horizontal="center" vertical="center"/>
    </xf>
    <xf numFmtId="1" fontId="0" fillId="8" borderId="1" xfId="0" applyNumberFormat="1" applyFill="1" applyBorder="1"/>
    <xf numFmtId="37" fontId="4" fillId="8" borderId="1" xfId="0" applyNumberFormat="1" applyFont="1" applyFill="1" applyBorder="1" applyAlignment="1">
      <alignment horizontal="center"/>
    </xf>
    <xf numFmtId="37" fontId="4" fillId="9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/>
    <xf numFmtId="164" fontId="0" fillId="3" borderId="1" xfId="0" applyNumberFormat="1" applyFill="1" applyBorder="1"/>
    <xf numFmtId="0" fontId="4" fillId="7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/>
    <xf numFmtId="3" fontId="7" fillId="0" borderId="0" xfId="0" applyNumberFormat="1" applyFont="1"/>
    <xf numFmtId="1" fontId="2" fillId="0" borderId="8" xfId="0" applyNumberFormat="1" applyFont="1" applyBorder="1" applyAlignment="1">
      <alignment wrapText="1"/>
    </xf>
    <xf numFmtId="1" fontId="2" fillId="0" borderId="8" xfId="0" applyNumberFormat="1" applyFont="1" applyBorder="1"/>
    <xf numFmtId="0" fontId="0" fillId="0" borderId="8" xfId="0" applyBorder="1"/>
    <xf numFmtId="0" fontId="4" fillId="2" borderId="1" xfId="0" applyFont="1" applyFill="1" applyBorder="1" applyAlignment="1">
      <alignment horizontal="center" wrapText="1"/>
    </xf>
    <xf numFmtId="17" fontId="1" fillId="2" borderId="1" xfId="0" applyNumberFormat="1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 wrapText="1"/>
    </xf>
    <xf numFmtId="10" fontId="5" fillId="10" borderId="1" xfId="0" applyNumberFormat="1" applyFont="1" applyFill="1" applyBorder="1" applyAlignment="1">
      <alignment horizontal="center" vertical="center" wrapText="1"/>
    </xf>
    <xf numFmtId="37" fontId="0" fillId="0" borderId="0" xfId="0" applyNumberFormat="1"/>
    <xf numFmtId="3" fontId="4" fillId="0" borderId="1" xfId="0" applyNumberFormat="1" applyFont="1" applyBorder="1" applyAlignment="1">
      <alignment horizontal="right"/>
    </xf>
    <xf numFmtId="0" fontId="0" fillId="0" borderId="1" xfId="0" applyBorder="1"/>
    <xf numFmtId="165" fontId="0" fillId="0" borderId="1" xfId="1" applyNumberFormat="1" applyFont="1" applyBorder="1"/>
    <xf numFmtId="5" fontId="4" fillId="7" borderId="1" xfId="1" applyNumberFormat="1" applyFont="1" applyFill="1" applyBorder="1" applyAlignment="1">
      <alignment horizontal="center" vertical="center"/>
    </xf>
    <xf numFmtId="5" fontId="4" fillId="6" borderId="1" xfId="1" applyNumberFormat="1" applyFont="1" applyFill="1" applyBorder="1" applyAlignment="1">
      <alignment horizontal="center" vertical="center"/>
    </xf>
    <xf numFmtId="5" fontId="4" fillId="5" borderId="1" xfId="1" applyNumberFormat="1" applyFont="1" applyFill="1" applyBorder="1" applyAlignment="1">
      <alignment horizontal="center" vertical="center"/>
    </xf>
    <xf numFmtId="5" fontId="4" fillId="10" borderId="1" xfId="1" applyNumberFormat="1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165" fontId="0" fillId="3" borderId="1" xfId="0" applyNumberFormat="1" applyFill="1" applyBorder="1"/>
    <xf numFmtId="165" fontId="0" fillId="8" borderId="1" xfId="0" applyNumberFormat="1" applyFill="1" applyBorder="1"/>
    <xf numFmtId="166" fontId="0" fillId="3" borderId="1" xfId="0" applyNumberFormat="1" applyFill="1" applyBorder="1"/>
    <xf numFmtId="165" fontId="4" fillId="0" borderId="1" xfId="0" applyNumberFormat="1" applyFont="1" applyBorder="1" applyAlignment="1">
      <alignment horizontal="center"/>
    </xf>
    <xf numFmtId="5" fontId="4" fillId="4" borderId="1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3" fontId="4" fillId="6" borderId="5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/>
    </xf>
    <xf numFmtId="5" fontId="4" fillId="11" borderId="1" xfId="1" applyNumberFormat="1" applyFont="1" applyFill="1" applyBorder="1" applyAlignment="1">
      <alignment horizontal="center" vertical="center"/>
    </xf>
    <xf numFmtId="10" fontId="5" fillId="11" borderId="1" xfId="0" applyNumberFormat="1" applyFont="1" applyFill="1" applyBorder="1" applyAlignment="1">
      <alignment horizontal="center" vertical="center" wrapText="1"/>
    </xf>
    <xf numFmtId="0" fontId="0" fillId="0" borderId="6" xfId="0" applyBorder="1"/>
    <xf numFmtId="164" fontId="0" fillId="0" borderId="1" xfId="0" applyNumberFormat="1" applyBorder="1"/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SW Monthly Rev. and Qty 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'Total overview'!$A$6</c:f>
              <c:strCache>
                <c:ptCount val="1"/>
                <c:pt idx="0">
                  <c:v>MS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overview'!$B$2:$N$2</c:f>
              <c:numCache>
                <c:formatCode>mmm\-yy</c:formatCode>
                <c:ptCount val="13"/>
                <c:pt idx="0">
                  <c:v>45923</c:v>
                </c:pt>
                <c:pt idx="1">
                  <c:v>45953</c:v>
                </c:pt>
                <c:pt idx="2">
                  <c:v>45984</c:v>
                </c:pt>
                <c:pt idx="3">
                  <c:v>46014</c:v>
                </c:pt>
                <c:pt idx="4">
                  <c:v>46045</c:v>
                </c:pt>
                <c:pt idx="5">
                  <c:v>46076</c:v>
                </c:pt>
                <c:pt idx="6">
                  <c:v>46104</c:v>
                </c:pt>
                <c:pt idx="7">
                  <c:v>46135</c:v>
                </c:pt>
                <c:pt idx="8">
                  <c:v>46165</c:v>
                </c:pt>
                <c:pt idx="9">
                  <c:v>46196</c:v>
                </c:pt>
                <c:pt idx="10">
                  <c:v>46226</c:v>
                </c:pt>
                <c:pt idx="11">
                  <c:v>46257</c:v>
                </c:pt>
                <c:pt idx="12">
                  <c:v>46288</c:v>
                </c:pt>
              </c:numCache>
            </c:numRef>
          </c:cat>
          <c:val>
            <c:numRef>
              <c:f>'Total overview'!$B$6:$N$6</c:f>
              <c:numCache>
                <c:formatCode>_("$"* #,##0_);_("$"* \(#,##0\);_("$"* "-"_);_(@_)</c:formatCode>
                <c:ptCount val="13"/>
                <c:pt idx="0">
                  <c:v>623748</c:v>
                </c:pt>
                <c:pt idx="1">
                  <c:v>493212</c:v>
                </c:pt>
                <c:pt idx="2">
                  <c:v>444232</c:v>
                </c:pt>
                <c:pt idx="3">
                  <c:v>668529</c:v>
                </c:pt>
                <c:pt idx="4">
                  <c:v>543100</c:v>
                </c:pt>
                <c:pt idx="5">
                  <c:v>294201</c:v>
                </c:pt>
                <c:pt idx="6">
                  <c:v>661799</c:v>
                </c:pt>
                <c:pt idx="7">
                  <c:v>565350</c:v>
                </c:pt>
                <c:pt idx="8">
                  <c:v>405247</c:v>
                </c:pt>
                <c:pt idx="9">
                  <c:v>813081</c:v>
                </c:pt>
                <c:pt idx="10">
                  <c:v>701034</c:v>
                </c:pt>
                <c:pt idx="11">
                  <c:v>543398</c:v>
                </c:pt>
                <c:pt idx="12">
                  <c:v>702179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5-4208-99FC-8772EADA5D23}"/>
            </c:ext>
          </c:extLst>
        </c:ser>
        <c:ser>
          <c:idx val="2"/>
          <c:order val="2"/>
          <c:tx>
            <c:strRef>
              <c:f>'Total overview'!$A$7</c:f>
              <c:strCache>
                <c:ptCount val="1"/>
                <c:pt idx="0">
                  <c:v>Other Total sales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&quot;$&quot;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overview'!$B$2:$N$2</c:f>
              <c:numCache>
                <c:formatCode>mmm\-yy</c:formatCode>
                <c:ptCount val="13"/>
                <c:pt idx="0">
                  <c:v>45923</c:v>
                </c:pt>
                <c:pt idx="1">
                  <c:v>45953</c:v>
                </c:pt>
                <c:pt idx="2">
                  <c:v>45984</c:v>
                </c:pt>
                <c:pt idx="3">
                  <c:v>46014</c:v>
                </c:pt>
                <c:pt idx="4">
                  <c:v>46045</c:v>
                </c:pt>
                <c:pt idx="5">
                  <c:v>46076</c:v>
                </c:pt>
                <c:pt idx="6">
                  <c:v>46104</c:v>
                </c:pt>
                <c:pt idx="7">
                  <c:v>46135</c:v>
                </c:pt>
                <c:pt idx="8">
                  <c:v>46165</c:v>
                </c:pt>
                <c:pt idx="9">
                  <c:v>46196</c:v>
                </c:pt>
                <c:pt idx="10">
                  <c:v>46226</c:v>
                </c:pt>
                <c:pt idx="11">
                  <c:v>46257</c:v>
                </c:pt>
                <c:pt idx="12">
                  <c:v>46288</c:v>
                </c:pt>
              </c:numCache>
            </c:numRef>
          </c:cat>
          <c:val>
            <c:numRef>
              <c:f>'Total overview'!$B$7:$N$7</c:f>
              <c:numCache>
                <c:formatCode>_("$"* #,##0_);_("$"* \(#,##0\);_("$"* "-"_);_(@_)</c:formatCode>
                <c:ptCount val="13"/>
                <c:pt idx="0">
                  <c:v>1804339.3800000001</c:v>
                </c:pt>
                <c:pt idx="1">
                  <c:v>342232.08999999997</c:v>
                </c:pt>
                <c:pt idx="2">
                  <c:v>645961.61</c:v>
                </c:pt>
                <c:pt idx="3">
                  <c:v>879085.67999999993</c:v>
                </c:pt>
                <c:pt idx="4">
                  <c:v>66795</c:v>
                </c:pt>
                <c:pt idx="5">
                  <c:v>15891054.970000001</c:v>
                </c:pt>
                <c:pt idx="6">
                  <c:v>8697793.5099999998</c:v>
                </c:pt>
                <c:pt idx="7">
                  <c:v>82548</c:v>
                </c:pt>
                <c:pt idx="8">
                  <c:v>2378223.4699999997</c:v>
                </c:pt>
                <c:pt idx="9">
                  <c:v>4421173.3600000003</c:v>
                </c:pt>
                <c:pt idx="10">
                  <c:v>1087657.58</c:v>
                </c:pt>
                <c:pt idx="11">
                  <c:v>3563384</c:v>
                </c:pt>
                <c:pt idx="12">
                  <c:v>5297104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5-4208-99FC-8772EADA5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896119823"/>
        <c:axId val="1898038847"/>
      </c:barChart>
      <c:lineChart>
        <c:grouping val="standard"/>
        <c:varyColors val="0"/>
        <c:ser>
          <c:idx val="0"/>
          <c:order val="0"/>
          <c:tx>
            <c:strRef>
              <c:f>'Total overview'!$A$5</c:f>
              <c:strCache>
                <c:ptCount val="1"/>
                <c:pt idx="0">
                  <c:v>TOTAL  QTY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'Total overview'!$B$2:$N$2</c:f>
              <c:numCache>
                <c:formatCode>mmm\-yy</c:formatCode>
                <c:ptCount val="13"/>
                <c:pt idx="0">
                  <c:v>45923</c:v>
                </c:pt>
                <c:pt idx="1">
                  <c:v>45953</c:v>
                </c:pt>
                <c:pt idx="2">
                  <c:v>45984</c:v>
                </c:pt>
                <c:pt idx="3">
                  <c:v>46014</c:v>
                </c:pt>
                <c:pt idx="4">
                  <c:v>46045</c:v>
                </c:pt>
                <c:pt idx="5">
                  <c:v>46076</c:v>
                </c:pt>
                <c:pt idx="6">
                  <c:v>46104</c:v>
                </c:pt>
                <c:pt idx="7">
                  <c:v>46135</c:v>
                </c:pt>
                <c:pt idx="8">
                  <c:v>46165</c:v>
                </c:pt>
                <c:pt idx="9">
                  <c:v>46196</c:v>
                </c:pt>
                <c:pt idx="10">
                  <c:v>46226</c:v>
                </c:pt>
                <c:pt idx="11">
                  <c:v>46257</c:v>
                </c:pt>
                <c:pt idx="12">
                  <c:v>46288</c:v>
                </c:pt>
              </c:numCache>
            </c:numRef>
          </c:cat>
          <c:val>
            <c:numRef>
              <c:f>'Total overview'!$B$5:$N$5</c:f>
              <c:numCache>
                <c:formatCode>0</c:formatCode>
                <c:ptCount val="13"/>
                <c:pt idx="0">
                  <c:v>5365</c:v>
                </c:pt>
                <c:pt idx="1">
                  <c:v>4757</c:v>
                </c:pt>
                <c:pt idx="2">
                  <c:v>31527</c:v>
                </c:pt>
                <c:pt idx="3">
                  <c:v>22120</c:v>
                </c:pt>
                <c:pt idx="4">
                  <c:v>1596</c:v>
                </c:pt>
                <c:pt idx="5">
                  <c:v>302669</c:v>
                </c:pt>
                <c:pt idx="6">
                  <c:v>15620</c:v>
                </c:pt>
                <c:pt idx="7">
                  <c:v>2910</c:v>
                </c:pt>
                <c:pt idx="8">
                  <c:v>65625</c:v>
                </c:pt>
                <c:pt idx="9">
                  <c:v>33593</c:v>
                </c:pt>
                <c:pt idx="10">
                  <c:v>54060</c:v>
                </c:pt>
                <c:pt idx="11">
                  <c:v>20327</c:v>
                </c:pt>
                <c:pt idx="12">
                  <c:v>9788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5-4208-99FC-8772EADA5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432016"/>
        <c:axId val="1457727904"/>
      </c:lineChart>
      <c:dateAx>
        <c:axId val="189611982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38847"/>
        <c:crosses val="autoZero"/>
        <c:auto val="1"/>
        <c:lblOffset val="100"/>
        <c:baseTimeUnit val="months"/>
      </c:dateAx>
      <c:valAx>
        <c:axId val="189803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11982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4577279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32016"/>
        <c:crosses val="max"/>
        <c:crossBetween val="between"/>
      </c:valAx>
      <c:dateAx>
        <c:axId val="151143201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57727904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Rev. and Qty - Microsoft </a:t>
            </a:r>
          </a:p>
        </c:rich>
      </c:tx>
      <c:layout>
        <c:manualLayout>
          <c:xMode val="edge"/>
          <c:yMode val="edge"/>
          <c:x val="0.21744799261203457"/>
          <c:y val="2.4590988626421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27831243316808"/>
          <c:y val="0.20605555555555555"/>
          <c:w val="0.74659473121415376"/>
          <c:h val="0.4606815398075240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'MS Monthly SOR'!$A$8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'MS Monthly SOR'!$B$2:$N$2</c:f>
              <c:numCache>
                <c:formatCode>mmm\-yy</c:formatCode>
                <c:ptCount val="13"/>
                <c:pt idx="0">
                  <c:v>45925</c:v>
                </c:pt>
                <c:pt idx="1">
                  <c:v>45955</c:v>
                </c:pt>
                <c:pt idx="2">
                  <c:v>45986</c:v>
                </c:pt>
                <c:pt idx="3">
                  <c:v>46016</c:v>
                </c:pt>
                <c:pt idx="4">
                  <c:v>46047</c:v>
                </c:pt>
                <c:pt idx="5">
                  <c:v>46078</c:v>
                </c:pt>
                <c:pt idx="6">
                  <c:v>46106</c:v>
                </c:pt>
                <c:pt idx="7">
                  <c:v>46137</c:v>
                </c:pt>
                <c:pt idx="8">
                  <c:v>46167</c:v>
                </c:pt>
                <c:pt idx="9">
                  <c:v>46198</c:v>
                </c:pt>
                <c:pt idx="10">
                  <c:v>46228</c:v>
                </c:pt>
                <c:pt idx="11">
                  <c:v>46259</c:v>
                </c:pt>
                <c:pt idx="12">
                  <c:v>46290</c:v>
                </c:pt>
              </c:numCache>
            </c:numRef>
          </c:cat>
          <c:val>
            <c:numRef>
              <c:f>'MS Monthly SOR'!$B$8:$N$8</c:f>
              <c:numCache>
                <c:formatCode>"$"#,##0</c:formatCode>
                <c:ptCount val="13"/>
                <c:pt idx="0">
                  <c:v>623748</c:v>
                </c:pt>
                <c:pt idx="1">
                  <c:v>493212</c:v>
                </c:pt>
                <c:pt idx="2">
                  <c:v>444232</c:v>
                </c:pt>
                <c:pt idx="3">
                  <c:v>668529</c:v>
                </c:pt>
                <c:pt idx="4">
                  <c:v>543100</c:v>
                </c:pt>
                <c:pt idx="5">
                  <c:v>294201</c:v>
                </c:pt>
                <c:pt idx="6">
                  <c:v>661799</c:v>
                </c:pt>
                <c:pt idx="7">
                  <c:v>565350</c:v>
                </c:pt>
                <c:pt idx="8">
                  <c:v>405247</c:v>
                </c:pt>
                <c:pt idx="9">
                  <c:v>813081</c:v>
                </c:pt>
                <c:pt idx="10">
                  <c:v>701034</c:v>
                </c:pt>
                <c:pt idx="11">
                  <c:v>543398</c:v>
                </c:pt>
                <c:pt idx="12">
                  <c:v>702179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2-4D76-BFFB-2391C2248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49526224"/>
        <c:axId val="49522304"/>
      </c:barChart>
      <c:lineChart>
        <c:grouping val="standard"/>
        <c:varyColors val="0"/>
        <c:ser>
          <c:idx val="0"/>
          <c:order val="0"/>
          <c:tx>
            <c:strRef>
              <c:f>'MS Monthly SOR'!$A$5</c:f>
              <c:strCache>
                <c:ptCount val="1"/>
                <c:pt idx="0">
                  <c:v>Total qty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'MS Monthly SOR'!$B$2:$N$2</c:f>
              <c:numCache>
                <c:formatCode>mmm\-yy</c:formatCode>
                <c:ptCount val="13"/>
                <c:pt idx="0">
                  <c:v>45925</c:v>
                </c:pt>
                <c:pt idx="1">
                  <c:v>45955</c:v>
                </c:pt>
                <c:pt idx="2">
                  <c:v>45986</c:v>
                </c:pt>
                <c:pt idx="3">
                  <c:v>46016</c:v>
                </c:pt>
                <c:pt idx="4">
                  <c:v>46047</c:v>
                </c:pt>
                <c:pt idx="5">
                  <c:v>46078</c:v>
                </c:pt>
                <c:pt idx="6">
                  <c:v>46106</c:v>
                </c:pt>
                <c:pt idx="7">
                  <c:v>46137</c:v>
                </c:pt>
                <c:pt idx="8">
                  <c:v>46167</c:v>
                </c:pt>
                <c:pt idx="9">
                  <c:v>46198</c:v>
                </c:pt>
                <c:pt idx="10">
                  <c:v>46228</c:v>
                </c:pt>
                <c:pt idx="11">
                  <c:v>46259</c:v>
                </c:pt>
                <c:pt idx="12">
                  <c:v>46290</c:v>
                </c:pt>
              </c:numCache>
            </c:numRef>
          </c:cat>
          <c:val>
            <c:numRef>
              <c:f>'MS Monthly SOR'!$B$5:$N$5</c:f>
              <c:numCache>
                <c:formatCode>0</c:formatCode>
                <c:ptCount val="13"/>
                <c:pt idx="0">
                  <c:v>2147</c:v>
                </c:pt>
                <c:pt idx="1">
                  <c:v>1828</c:v>
                </c:pt>
                <c:pt idx="2">
                  <c:v>1319</c:v>
                </c:pt>
                <c:pt idx="3">
                  <c:v>1939</c:v>
                </c:pt>
                <c:pt idx="4">
                  <c:v>1451</c:v>
                </c:pt>
                <c:pt idx="5">
                  <c:v>1067</c:v>
                </c:pt>
                <c:pt idx="6">
                  <c:v>1894</c:v>
                </c:pt>
                <c:pt idx="7">
                  <c:v>1848</c:v>
                </c:pt>
                <c:pt idx="8">
                  <c:v>738</c:v>
                </c:pt>
                <c:pt idx="9">
                  <c:v>3008</c:v>
                </c:pt>
                <c:pt idx="10">
                  <c:v>2464</c:v>
                </c:pt>
                <c:pt idx="11">
                  <c:v>1250</c:v>
                </c:pt>
                <c:pt idx="12">
                  <c:v>1476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2-4D76-BFFB-2391C2248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30704"/>
        <c:axId val="49529584"/>
      </c:lineChart>
      <c:dateAx>
        <c:axId val="495262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2304"/>
        <c:crosses val="autoZero"/>
        <c:auto val="1"/>
        <c:lblOffset val="100"/>
        <c:baseTimeUnit val="months"/>
      </c:dateAx>
      <c:valAx>
        <c:axId val="4952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6224"/>
        <c:crosses val="autoZero"/>
        <c:crossBetween val="between"/>
      </c:valAx>
      <c:valAx>
        <c:axId val="49529584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0704"/>
        <c:crosses val="max"/>
        <c:crossBetween val="between"/>
      </c:valAx>
      <c:dateAx>
        <c:axId val="49530704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4952958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Monthly Rev. and Qty - Others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30672851879930874"/>
          <c:y val="3.03302692875609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20423835909401"/>
          <c:y val="0.20605555555555555"/>
          <c:w val="0.78881695343637603"/>
          <c:h val="0.4273482064741907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'Others-Monthly SOR'!$A$38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'Others-Monthly SOR'!$B$2:$M$2</c:f>
              <c:numCache>
                <c:formatCode>mmm\-yy</c:formatCode>
                <c:ptCount val="12"/>
                <c:pt idx="0">
                  <c:v>45923</c:v>
                </c:pt>
                <c:pt idx="1">
                  <c:v>45953</c:v>
                </c:pt>
                <c:pt idx="2">
                  <c:v>45984</c:v>
                </c:pt>
                <c:pt idx="3">
                  <c:v>46014</c:v>
                </c:pt>
                <c:pt idx="4">
                  <c:v>46045</c:v>
                </c:pt>
                <c:pt idx="5">
                  <c:v>46076</c:v>
                </c:pt>
                <c:pt idx="6">
                  <c:v>46104</c:v>
                </c:pt>
                <c:pt idx="7">
                  <c:v>46135</c:v>
                </c:pt>
                <c:pt idx="8">
                  <c:v>46165</c:v>
                </c:pt>
                <c:pt idx="9">
                  <c:v>46196</c:v>
                </c:pt>
                <c:pt idx="10">
                  <c:v>46226</c:v>
                </c:pt>
                <c:pt idx="11">
                  <c:v>46257</c:v>
                </c:pt>
              </c:numCache>
            </c:numRef>
          </c:cat>
          <c:val>
            <c:numRef>
              <c:f>'Others-Monthly SOR'!$B$38:$M$38</c:f>
              <c:numCache>
                <c:formatCode>_("$"* #,##0_);_("$"* \(#,##0\);_("$"* "-"??_);_(@_)</c:formatCode>
                <c:ptCount val="12"/>
                <c:pt idx="0">
                  <c:v>1804339.3800000001</c:v>
                </c:pt>
                <c:pt idx="1">
                  <c:v>342232.08999999997</c:v>
                </c:pt>
                <c:pt idx="2">
                  <c:v>645961.61</c:v>
                </c:pt>
                <c:pt idx="3">
                  <c:v>879085.67999999993</c:v>
                </c:pt>
                <c:pt idx="4">
                  <c:v>66795</c:v>
                </c:pt>
                <c:pt idx="5">
                  <c:v>15891054.970000001</c:v>
                </c:pt>
                <c:pt idx="6">
                  <c:v>8697793.5099999998</c:v>
                </c:pt>
                <c:pt idx="7">
                  <c:v>82548</c:v>
                </c:pt>
                <c:pt idx="8">
                  <c:v>2378223.4699999997</c:v>
                </c:pt>
                <c:pt idx="9">
                  <c:v>4421173.3600000003</c:v>
                </c:pt>
                <c:pt idx="10">
                  <c:v>1087657.58</c:v>
                </c:pt>
                <c:pt idx="11">
                  <c:v>3563384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3-4AF5-AC69-4C1C4C697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356648224"/>
        <c:axId val="356648784"/>
      </c:barChart>
      <c:lineChart>
        <c:grouping val="standard"/>
        <c:varyColors val="0"/>
        <c:ser>
          <c:idx val="0"/>
          <c:order val="0"/>
          <c:tx>
            <c:strRef>
              <c:f>'Others-Monthly SOR'!$A$20</c:f>
              <c:strCache>
                <c:ptCount val="1"/>
                <c:pt idx="0">
                  <c:v>Total qty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'Others-Monthly SOR'!$B$2:$M$2</c:f>
              <c:numCache>
                <c:formatCode>mmm\-yy</c:formatCode>
                <c:ptCount val="12"/>
                <c:pt idx="0">
                  <c:v>45923</c:v>
                </c:pt>
                <c:pt idx="1">
                  <c:v>45953</c:v>
                </c:pt>
                <c:pt idx="2">
                  <c:v>45984</c:v>
                </c:pt>
                <c:pt idx="3">
                  <c:v>46014</c:v>
                </c:pt>
                <c:pt idx="4">
                  <c:v>46045</c:v>
                </c:pt>
                <c:pt idx="5">
                  <c:v>46076</c:v>
                </c:pt>
                <c:pt idx="6">
                  <c:v>46104</c:v>
                </c:pt>
                <c:pt idx="7">
                  <c:v>46135</c:v>
                </c:pt>
                <c:pt idx="8">
                  <c:v>46165</c:v>
                </c:pt>
                <c:pt idx="9">
                  <c:v>46196</c:v>
                </c:pt>
                <c:pt idx="10">
                  <c:v>46226</c:v>
                </c:pt>
                <c:pt idx="11">
                  <c:v>46257</c:v>
                </c:pt>
              </c:numCache>
            </c:numRef>
          </c:cat>
          <c:val>
            <c:numRef>
              <c:f>'Others-Monthly SOR'!$B$20:$M$20</c:f>
              <c:numCache>
                <c:formatCode>0</c:formatCode>
                <c:ptCount val="12"/>
                <c:pt idx="0">
                  <c:v>3218</c:v>
                </c:pt>
                <c:pt idx="1">
                  <c:v>2929</c:v>
                </c:pt>
                <c:pt idx="2">
                  <c:v>30208</c:v>
                </c:pt>
                <c:pt idx="3">
                  <c:v>20181</c:v>
                </c:pt>
                <c:pt idx="4">
                  <c:v>145</c:v>
                </c:pt>
                <c:pt idx="5">
                  <c:v>301602</c:v>
                </c:pt>
                <c:pt idx="6">
                  <c:v>13726</c:v>
                </c:pt>
                <c:pt idx="7">
                  <c:v>1062</c:v>
                </c:pt>
                <c:pt idx="8">
                  <c:v>64887</c:v>
                </c:pt>
                <c:pt idx="9">
                  <c:v>30585</c:v>
                </c:pt>
                <c:pt idx="10">
                  <c:v>51596</c:v>
                </c:pt>
                <c:pt idx="11">
                  <c:v>19077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3-4AF5-AC69-4C1C4C697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649904"/>
        <c:axId val="356649344"/>
      </c:lineChart>
      <c:dateAx>
        <c:axId val="3566482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648784"/>
        <c:crosses val="autoZero"/>
        <c:auto val="1"/>
        <c:lblOffset val="100"/>
        <c:baseTimeUnit val="months"/>
      </c:dateAx>
      <c:valAx>
        <c:axId val="35664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648224"/>
        <c:crosses val="autoZero"/>
        <c:crossBetween val="between"/>
      </c:valAx>
      <c:valAx>
        <c:axId val="3566493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649904"/>
        <c:crosses val="max"/>
        <c:crossBetween val="between"/>
      </c:valAx>
      <c:dateAx>
        <c:axId val="35664990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35664934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426095710638908"/>
          <c:y val="0.84898071625344362"/>
          <c:w val="0.43406560481309697"/>
          <c:h val="9.297585735667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647697</xdr:colOff>
      <xdr:row>10</xdr:row>
      <xdr:rowOff>66674</xdr:rowOff>
    </xdr:from>
    <xdr:to>
      <xdr:col>10</xdr:col>
      <xdr:colOff>28575</xdr:colOff>
      <xdr:row>37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E88E7-667F-4718-9422-7240D4881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752465</xdr:colOff>
      <xdr:row>10</xdr:row>
      <xdr:rowOff>145676</xdr:rowOff>
    </xdr:from>
    <xdr:to>
      <xdr:col>6</xdr:col>
      <xdr:colOff>134471</xdr:colOff>
      <xdr:row>38</xdr:row>
      <xdr:rowOff>78440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E8ADA1-21C9-4AAE-AC80-8DAAF1C5A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1545155</xdr:colOff>
      <xdr:row>39</xdr:row>
      <xdr:rowOff>31749</xdr:rowOff>
    </xdr:from>
    <xdr:to>
      <xdr:col>4</xdr:col>
      <xdr:colOff>392905</xdr:colOff>
      <xdr:row>61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3F7F4-6EA2-4550-A60B-904733CFE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anley Huang (Purchasing)" id="{BC5B280E-01E5-4C01-9BB3-0014E1E96ED5}" userId="S::StanleyH@supermicro.com::7751f65c-7147-4222-9cf7-b2c50cb6858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5-10-31T23:50:57.71" personId="{BC5B280E-01E5-4C01-9BB3-0014E1E96ED5}" id="{B5C550AD-717C-4C9A-B502-222C6293C2EE}">
    <text>8801545119  * 6</text>
  </threadedComment>
  <threadedComment ref="K5" dT="2026-06-26T21:58:57.24" personId="{BC5B280E-01E5-4C01-9BB3-0014E1E96ED5}" id="{E5EE1A1D-CBA1-44F4-857C-C0D26FEE3FB2}">
    <text>8801631575  - 15
8801611947  - 12
8801627115  - 6</text>
  </threadedComment>
  <threadedComment ref="E15" dT="2025-12-20T01:31:37.11" personId="{BC5B280E-01E5-4C01-9BB3-0014E1E96ED5}" id="{F6F952BA-E8DC-40BB-8406-35A95AD584C3}">
    <text>8801506222 -43x</text>
  </threadedComment>
  <threadedComment ref="K15" dT="2026-06-13T00:22:37.29" personId="{BC5B280E-01E5-4C01-9BB3-0014E1E96ED5}" id="{B0EB7FA7-D7C1-4B95-8631-F611C28BE4AD}">
    <text>2003 - 8801611243 (SYNOPSYS)</text>
  </threadedComment>
  <threadedComment ref="L15" dT="2026-07-17T22:02:59.37" personId="{BC5B280E-01E5-4C01-9BB3-0014E1E96ED5}" id="{FD683053-D6B1-49F7-A0EB-67097B26C9D6}">
    <text>8801582498 - 40951
8801593917  - 2206
8801637414  - 1</text>
  </threadedComment>
  <threadedComment ref="M15" dT="2026-08-21T23:26:08.49" personId="{BC5B280E-01E5-4C01-9BB3-0014E1E96ED5}" id="{1AAB6561-8D34-45D3-AD83-7B8B643FF9F7}">
    <text>8801619028  - 17601 (Graphcore)</text>
  </threadedComment>
  <threadedComment ref="N15" dT="2026-09-04T21:45:00.60" personId="{BC5B280E-01E5-4C01-9BB3-0014E1E96ED5}" id="{F9B7DAA8-9DD4-4B7A-8FCA-8C7840832272}">
    <text>8801624525 - 1780
8801624789 - 5801</text>
  </threadedComment>
  <threadedComment ref="K23" dT="2026-06-26T22:01:41.07" personId="{BC5B280E-01E5-4C01-9BB3-0014E1E96ED5}" id="{FA10FAA4-B0BD-4B81-8D75-BB2C16CE3984}">
    <text>8801631575  - $ 93,480 
8801611947  - ?
8801627115  - $ 11,216</text>
  </threadedComment>
  <threadedComment ref="E33" dT="2025-12-20T01:31:54.26" personId="{BC5B280E-01E5-4C01-9BB3-0014E1E96ED5}" id="{43E2BAC0-4D77-465B-B5A4-41A6BE9E91CC}">
    <text>8801506222 - $ 110,660</text>
  </threadedComment>
  <threadedComment ref="K33" dT="2026-06-13T00:26:59.98" personId="{BC5B280E-01E5-4C01-9BB3-0014E1E96ED5}" id="{087B9913-EFA3-4923-A412-164C2D820F8E}">
    <text>8801611243 - $554,068  (SYNOPSYS )</text>
  </threadedComment>
  <threadedComment ref="L33" dT="2026-07-17T22:08:46.54" personId="{BC5B280E-01E5-4C01-9BB3-0014E1E96ED5}" id="{6CC929D9-1ABE-4953-B60D-3DA23277D267}">
    <text xml:space="preserve">8801582498 - $ 180,096
8801593917  -$ 464,084  
8801637414  -$ 30.464 
</text>
  </threadedComment>
  <threadedComment ref="M33" dT="2026-08-21T23:27:50.29" personId="{BC5B280E-01E5-4C01-9BB3-0014E1E96ED5}" id="{26B27B9F-2DD7-4B2A-993F-0CAEC46692C6}">
    <text>8801619028 - $ 3,421,680  (Graphcore)</text>
  </threadedComment>
  <threadedComment ref="N33" dT="2026-09-04T21:47:24.22" personId="{BC5B280E-01E5-4C01-9BB3-0014E1E96ED5}" id="{B5A1BAD3-2F90-4925-8CD8-006D649525DC}">
    <text xml:space="preserve">8801624525 - $ 707,955 
8801624789 - $ 4,563,292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CB8C-25C8-448E-8263-F014B1CE445C}">
  <dimension ref="A1:Q8"/>
  <sheetViews>
    <sheetView tabSelected="1" zoomScaleNormal="100" workbookViewId="0"/>
  </sheetViews>
  <sheetFormatPr defaultRowHeight="15" x14ac:dyDescent="0.25"/>
  <cols>
    <col min="1" max="1" width="22.5703125" customWidth="1"/>
    <col min="2" max="6" width="11.5703125" customWidth="1"/>
    <col min="7" max="14" width="13" customWidth="1"/>
    <col min="15" max="15" width="19" customWidth="1"/>
    <col min="16" max="16" width="11.5703125" customWidth="1"/>
    <col min="17" max="17" width="15.5703125" customWidth="1"/>
  </cols>
  <sheetData>
    <row r="1" spans="1:17" x14ac:dyDescent="0.25">
      <c r="A1" s="12">
        <v>46283</v>
      </c>
    </row>
    <row r="2" spans="1:17" ht="15.75" x14ac:dyDescent="0.25">
      <c r="A2" s="1" t="s">
        <v>0</v>
      </c>
      <c r="B2" s="2">
        <v>45923</v>
      </c>
      <c r="C2" s="2">
        <v>45953</v>
      </c>
      <c r="D2" s="2">
        <v>45984</v>
      </c>
      <c r="E2" s="2">
        <v>46014</v>
      </c>
      <c r="F2" s="2">
        <v>46045</v>
      </c>
      <c r="G2" s="2">
        <v>46076</v>
      </c>
      <c r="H2" s="2">
        <v>46104</v>
      </c>
      <c r="I2" s="2">
        <v>46135</v>
      </c>
      <c r="J2" s="2">
        <v>46165</v>
      </c>
      <c r="K2" s="2">
        <v>46196</v>
      </c>
      <c r="L2" s="2">
        <v>46226</v>
      </c>
      <c r="M2" s="2">
        <v>46257</v>
      </c>
      <c r="N2" s="2">
        <v>46288</v>
      </c>
      <c r="O2" s="37" t="s">
        <v>54</v>
      </c>
    </row>
    <row r="3" spans="1:17" ht="15.75" x14ac:dyDescent="0.25">
      <c r="A3" s="3" t="s">
        <v>7</v>
      </c>
      <c r="B3" s="13">
        <f>'MS Monthly SOR'!B5</f>
        <v>2147</v>
      </c>
      <c r="C3" s="13">
        <f>'MS Monthly SOR'!C5</f>
        <v>1828</v>
      </c>
      <c r="D3" s="13">
        <f>'MS Monthly SOR'!D5</f>
        <v>1319</v>
      </c>
      <c r="E3" s="13">
        <f>'MS Monthly SOR'!E5</f>
        <v>1939</v>
      </c>
      <c r="F3" s="13">
        <f>'MS Monthly SOR'!F5</f>
        <v>1451</v>
      </c>
      <c r="G3" s="13">
        <f>'MS Monthly SOR'!G5</f>
        <v>1067</v>
      </c>
      <c r="H3" s="13">
        <f>'MS Monthly SOR'!H5</f>
        <v>1894</v>
      </c>
      <c r="I3" s="13">
        <f>'MS Monthly SOR'!I5</f>
        <v>1848</v>
      </c>
      <c r="J3" s="13">
        <f>'MS Monthly SOR'!J5</f>
        <v>738</v>
      </c>
      <c r="K3" s="13">
        <f>'MS Monthly SOR'!K5</f>
        <v>3008</v>
      </c>
      <c r="L3" s="13">
        <f>'MS Monthly SOR'!L5</f>
        <v>2464</v>
      </c>
      <c r="M3" s="13">
        <f>'MS Monthly SOR'!M5</f>
        <v>1250</v>
      </c>
      <c r="N3" s="13">
        <f>'MS Monthly SOR'!N5</f>
        <v>1476</v>
      </c>
      <c r="O3" s="18">
        <f>SUM(C3:N3)</f>
        <v>20282</v>
      </c>
    </row>
    <row r="4" spans="1:17" ht="15.75" x14ac:dyDescent="0.25">
      <c r="A4" s="3" t="s">
        <v>11</v>
      </c>
      <c r="B4" s="13">
        <f>'Others-Monthly SOR'!B20</f>
        <v>3218</v>
      </c>
      <c r="C4" s="13">
        <f>'Others-Monthly SOR'!C20</f>
        <v>2929</v>
      </c>
      <c r="D4" s="13">
        <f>'Others-Monthly SOR'!D20</f>
        <v>30208</v>
      </c>
      <c r="E4" s="13">
        <f>'Others-Monthly SOR'!E20</f>
        <v>20181</v>
      </c>
      <c r="F4" s="13">
        <f>'Others-Monthly SOR'!F20</f>
        <v>145</v>
      </c>
      <c r="G4" s="13">
        <f>'Others-Monthly SOR'!G20</f>
        <v>301602</v>
      </c>
      <c r="H4" s="13">
        <f>'Others-Monthly SOR'!H20</f>
        <v>13726</v>
      </c>
      <c r="I4" s="13">
        <f>'Others-Monthly SOR'!I20</f>
        <v>1062</v>
      </c>
      <c r="J4" s="13">
        <f>'Others-Monthly SOR'!J20</f>
        <v>64887</v>
      </c>
      <c r="K4" s="13">
        <f>'Others-Monthly SOR'!K20</f>
        <v>30585</v>
      </c>
      <c r="L4" s="13">
        <f>'Others-Monthly SOR'!L20</f>
        <v>51596</v>
      </c>
      <c r="M4" s="13">
        <f>'Others-Monthly SOR'!M20</f>
        <v>19077</v>
      </c>
      <c r="N4" s="13">
        <f>'Others-Monthly SOR'!N20</f>
        <v>8312</v>
      </c>
      <c r="O4" s="18">
        <f>SUM(C4:N4)</f>
        <v>544310</v>
      </c>
    </row>
    <row r="5" spans="1:17" ht="15.75" x14ac:dyDescent="0.25">
      <c r="A5" s="5" t="s">
        <v>9</v>
      </c>
      <c r="B5" s="6">
        <f t="shared" ref="B5:N5" si="0">SUM(B3:B4)</f>
        <v>5365</v>
      </c>
      <c r="C5" s="6">
        <f t="shared" si="0"/>
        <v>4757</v>
      </c>
      <c r="D5" s="6">
        <f t="shared" si="0"/>
        <v>31527</v>
      </c>
      <c r="E5" s="6">
        <f t="shared" si="0"/>
        <v>22120</v>
      </c>
      <c r="F5" s="6">
        <f t="shared" si="0"/>
        <v>1596</v>
      </c>
      <c r="G5" s="6">
        <f t="shared" si="0"/>
        <v>302669</v>
      </c>
      <c r="H5" s="6">
        <f t="shared" si="0"/>
        <v>15620</v>
      </c>
      <c r="I5" s="6">
        <f t="shared" si="0"/>
        <v>2910</v>
      </c>
      <c r="J5" s="6">
        <f t="shared" si="0"/>
        <v>65625</v>
      </c>
      <c r="K5" s="6">
        <f t="shared" si="0"/>
        <v>33593</v>
      </c>
      <c r="L5" s="6">
        <f t="shared" si="0"/>
        <v>54060</v>
      </c>
      <c r="M5" s="6">
        <f t="shared" si="0"/>
        <v>20327</v>
      </c>
      <c r="N5" s="6">
        <f t="shared" si="0"/>
        <v>9788</v>
      </c>
      <c r="O5" s="25">
        <f>O3+O4</f>
        <v>564592</v>
      </c>
    </row>
    <row r="6" spans="1:17" ht="15.75" x14ac:dyDescent="0.25">
      <c r="A6" s="3" t="s">
        <v>8</v>
      </c>
      <c r="B6" s="14">
        <f>'MS Monthly SOR'!B6+'MS Monthly SOR'!B7</f>
        <v>623748</v>
      </c>
      <c r="C6" s="14">
        <f>'MS Monthly SOR'!C6+'MS Monthly SOR'!C7</f>
        <v>493212</v>
      </c>
      <c r="D6" s="14">
        <f>'MS Monthly SOR'!D6+'MS Monthly SOR'!D7</f>
        <v>444232</v>
      </c>
      <c r="E6" s="14">
        <f>'MS Monthly SOR'!E6+'MS Monthly SOR'!E7</f>
        <v>668529</v>
      </c>
      <c r="F6" s="14">
        <f>'MS Monthly SOR'!F6+'MS Monthly SOR'!F7</f>
        <v>543100</v>
      </c>
      <c r="G6" s="14">
        <f>'MS Monthly SOR'!G6+'MS Monthly SOR'!G7</f>
        <v>294201</v>
      </c>
      <c r="H6" s="14">
        <f>'MS Monthly SOR'!H6+'MS Monthly SOR'!H7</f>
        <v>661799</v>
      </c>
      <c r="I6" s="14">
        <f>'MS Monthly SOR'!I6+'MS Monthly SOR'!I7</f>
        <v>565350</v>
      </c>
      <c r="J6" s="14">
        <f>'MS Monthly SOR'!J6+'MS Monthly SOR'!J7</f>
        <v>405247</v>
      </c>
      <c r="K6" s="14">
        <f>'MS Monthly SOR'!K6+'MS Monthly SOR'!K7</f>
        <v>813081</v>
      </c>
      <c r="L6" s="14">
        <f>'MS Monthly SOR'!L6+'MS Monthly SOR'!L7</f>
        <v>701034</v>
      </c>
      <c r="M6" s="14">
        <f>'MS Monthly SOR'!M6+'MS Monthly SOR'!M7</f>
        <v>543398</v>
      </c>
      <c r="N6" s="14">
        <f>'MS Monthly SOR'!N6+'MS Monthly SOR'!N7</f>
        <v>702179</v>
      </c>
      <c r="O6" s="18">
        <f>SUM(C6:N6)</f>
        <v>6835362</v>
      </c>
      <c r="P6" s="52">
        <f>O6+'Others-Monthly SOR'!P22+'Others-Monthly SOR'!P23+'Others-Monthly SOR'!P24+'Others-Monthly SOR'!P25+'Others-Monthly SOR'!P31</f>
        <v>7409296.7000000002</v>
      </c>
      <c r="Q6" t="s">
        <v>53</v>
      </c>
    </row>
    <row r="7" spans="1:17" ht="15.75" x14ac:dyDescent="0.25">
      <c r="A7" s="16" t="s">
        <v>12</v>
      </c>
      <c r="B7" s="14">
        <f>'Others-Monthly SOR'!B38</f>
        <v>1804339.3800000001</v>
      </c>
      <c r="C7" s="14">
        <f>'Others-Monthly SOR'!C38</f>
        <v>342232.08999999997</v>
      </c>
      <c r="D7" s="14">
        <f>'Others-Monthly SOR'!D38</f>
        <v>645961.61</v>
      </c>
      <c r="E7" s="14">
        <f>'Others-Monthly SOR'!E38</f>
        <v>879085.67999999993</v>
      </c>
      <c r="F7" s="14">
        <f>'Others-Monthly SOR'!F38</f>
        <v>66795</v>
      </c>
      <c r="G7" s="14">
        <f>'Others-Monthly SOR'!G38</f>
        <v>15891054.970000001</v>
      </c>
      <c r="H7" s="14">
        <f>'Others-Monthly SOR'!H38</f>
        <v>8697793.5099999998</v>
      </c>
      <c r="I7" s="14">
        <f>'Others-Monthly SOR'!I38</f>
        <v>82548</v>
      </c>
      <c r="J7" s="14">
        <f>'Others-Monthly SOR'!J38</f>
        <v>2378223.4699999997</v>
      </c>
      <c r="K7" s="14">
        <f>'Others-Monthly SOR'!K38</f>
        <v>4421173.3600000003</v>
      </c>
      <c r="L7" s="14">
        <f>'Others-Monthly SOR'!L38</f>
        <v>1087657.58</v>
      </c>
      <c r="M7" s="14">
        <f>'Others-Monthly SOR'!M38</f>
        <v>3563384</v>
      </c>
      <c r="N7" s="14">
        <f>'Others-Monthly SOR'!N38</f>
        <v>5297104</v>
      </c>
      <c r="O7" s="18">
        <f>SUM(C7:N7)</f>
        <v>43353013.269999996</v>
      </c>
      <c r="P7" s="52">
        <f>O8-P6</f>
        <v>42779078.569999993</v>
      </c>
      <c r="Q7" t="s">
        <v>52</v>
      </c>
    </row>
    <row r="8" spans="1:17" ht="15.75" x14ac:dyDescent="0.25">
      <c r="A8" s="8" t="s">
        <v>10</v>
      </c>
      <c r="B8" s="15">
        <f t="shared" ref="B8:N8" si="1">SUM(B6:B7)</f>
        <v>2428087.38</v>
      </c>
      <c r="C8" s="15">
        <f t="shared" si="1"/>
        <v>835444.09</v>
      </c>
      <c r="D8" s="15">
        <f t="shared" si="1"/>
        <v>1090193.6099999999</v>
      </c>
      <c r="E8" s="15">
        <f t="shared" si="1"/>
        <v>1547614.68</v>
      </c>
      <c r="F8" s="15">
        <f t="shared" si="1"/>
        <v>609895</v>
      </c>
      <c r="G8" s="15">
        <f t="shared" si="1"/>
        <v>16185255.970000001</v>
      </c>
      <c r="H8" s="15">
        <f t="shared" si="1"/>
        <v>9359592.5099999998</v>
      </c>
      <c r="I8" s="15">
        <f t="shared" si="1"/>
        <v>647898</v>
      </c>
      <c r="J8" s="15">
        <f t="shared" si="1"/>
        <v>2783470.4699999997</v>
      </c>
      <c r="K8" s="15">
        <f t="shared" si="1"/>
        <v>5234254.3600000003</v>
      </c>
      <c r="L8" s="15">
        <f t="shared" si="1"/>
        <v>1788691.58</v>
      </c>
      <c r="M8" s="15">
        <f t="shared" si="1"/>
        <v>4106782</v>
      </c>
      <c r="N8" s="15">
        <f t="shared" si="1"/>
        <v>5999283</v>
      </c>
      <c r="O8" s="25">
        <f>O6+O7</f>
        <v>50188375.269999996</v>
      </c>
      <c r="P8" s="5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zoomScale="85" zoomScaleNormal="85" workbookViewId="0">
      <selection activeCell="E42" sqref="E42"/>
    </sheetView>
  </sheetViews>
  <sheetFormatPr defaultRowHeight="15" x14ac:dyDescent="0.25"/>
  <cols>
    <col min="1" max="1" width="20.5703125" customWidth="1"/>
    <col min="2" max="14" width="12.7109375" customWidth="1"/>
    <col min="15" max="15" width="16.5703125" customWidth="1"/>
    <col min="16" max="16" width="18.28515625" customWidth="1"/>
    <col min="17" max="17" width="11.42578125" customWidth="1"/>
    <col min="18" max="18" width="11.42578125" bestFit="1" customWidth="1"/>
  </cols>
  <sheetData>
    <row r="1" spans="1:17" x14ac:dyDescent="0.25">
      <c r="A1" s="12">
        <f>'Total overview'!A1</f>
        <v>46283</v>
      </c>
    </row>
    <row r="2" spans="1:17" ht="21.75" customHeight="1" x14ac:dyDescent="0.25">
      <c r="A2" s="1" t="s">
        <v>0</v>
      </c>
      <c r="B2" s="2">
        <v>45925</v>
      </c>
      <c r="C2" s="2">
        <v>45955</v>
      </c>
      <c r="D2" s="2">
        <v>45986</v>
      </c>
      <c r="E2" s="2">
        <v>46016</v>
      </c>
      <c r="F2" s="2">
        <v>46047</v>
      </c>
      <c r="G2" s="2">
        <v>46078</v>
      </c>
      <c r="H2" s="2">
        <v>46106</v>
      </c>
      <c r="I2" s="2">
        <v>46137</v>
      </c>
      <c r="J2" s="2">
        <v>46167</v>
      </c>
      <c r="K2" s="2">
        <v>46198</v>
      </c>
      <c r="L2" s="2">
        <v>46228</v>
      </c>
      <c r="M2" s="2">
        <v>46259</v>
      </c>
      <c r="N2" s="2">
        <v>46290</v>
      </c>
      <c r="O2" s="2" t="s">
        <v>25</v>
      </c>
      <c r="P2" s="37" t="s">
        <v>54</v>
      </c>
    </row>
    <row r="3" spans="1:17" ht="15.75" x14ac:dyDescent="0.25">
      <c r="A3" s="3" t="s">
        <v>1</v>
      </c>
      <c r="B3" s="4">
        <v>2088</v>
      </c>
      <c r="C3" s="4">
        <v>1780</v>
      </c>
      <c r="D3" s="4">
        <v>1227</v>
      </c>
      <c r="E3" s="4">
        <v>1805</v>
      </c>
      <c r="F3" s="4">
        <v>1397</v>
      </c>
      <c r="G3" s="4">
        <v>1018</v>
      </c>
      <c r="H3" s="4">
        <v>1723</v>
      </c>
      <c r="I3" s="4">
        <v>1701</v>
      </c>
      <c r="J3" s="4">
        <v>712</v>
      </c>
      <c r="K3" s="4">
        <v>2983</v>
      </c>
      <c r="L3" s="4">
        <v>2395</v>
      </c>
      <c r="M3" s="4">
        <v>1209</v>
      </c>
      <c r="N3" s="4">
        <v>1447</v>
      </c>
      <c r="O3" s="4">
        <f>L3+M3+N3</f>
        <v>5051</v>
      </c>
      <c r="P3" s="53">
        <f>SUM(C3:N3)</f>
        <v>19397</v>
      </c>
    </row>
    <row r="4" spans="1:17" ht="15.75" x14ac:dyDescent="0.25">
      <c r="A4" s="3" t="s">
        <v>2</v>
      </c>
      <c r="B4" s="4">
        <v>59</v>
      </c>
      <c r="C4" s="4">
        <v>48</v>
      </c>
      <c r="D4" s="4">
        <v>92</v>
      </c>
      <c r="E4" s="4">
        <v>134</v>
      </c>
      <c r="F4" s="4">
        <v>54</v>
      </c>
      <c r="G4" s="4">
        <v>49</v>
      </c>
      <c r="H4" s="4">
        <v>171</v>
      </c>
      <c r="I4" s="4">
        <v>147</v>
      </c>
      <c r="J4" s="4">
        <v>26</v>
      </c>
      <c r="K4" s="4">
        <v>25</v>
      </c>
      <c r="L4" s="4">
        <v>69</v>
      </c>
      <c r="M4" s="4">
        <v>41</v>
      </c>
      <c r="N4" s="4">
        <v>29</v>
      </c>
      <c r="O4" s="4">
        <f>L4+M4+N4</f>
        <v>139</v>
      </c>
      <c r="P4" s="53">
        <f>SUM(C4:N4)</f>
        <v>885</v>
      </c>
    </row>
    <row r="5" spans="1:17" ht="15.75" x14ac:dyDescent="0.25">
      <c r="A5" s="5" t="s">
        <v>5</v>
      </c>
      <c r="B5" s="6">
        <f t="shared" ref="B5:N5" si="0">B3+B4</f>
        <v>2147</v>
      </c>
      <c r="C5" s="6">
        <f t="shared" si="0"/>
        <v>1828</v>
      </c>
      <c r="D5" s="6">
        <f t="shared" si="0"/>
        <v>1319</v>
      </c>
      <c r="E5" s="6">
        <f t="shared" si="0"/>
        <v>1939</v>
      </c>
      <c r="F5" s="6">
        <f t="shared" si="0"/>
        <v>1451</v>
      </c>
      <c r="G5" s="6">
        <f t="shared" si="0"/>
        <v>1067</v>
      </c>
      <c r="H5" s="6">
        <f t="shared" si="0"/>
        <v>1894</v>
      </c>
      <c r="I5" s="6">
        <f t="shared" si="0"/>
        <v>1848</v>
      </c>
      <c r="J5" s="6">
        <f t="shared" si="0"/>
        <v>738</v>
      </c>
      <c r="K5" s="6">
        <f t="shared" si="0"/>
        <v>3008</v>
      </c>
      <c r="L5" s="6">
        <f t="shared" si="0"/>
        <v>2464</v>
      </c>
      <c r="M5" s="6">
        <f t="shared" si="0"/>
        <v>1250</v>
      </c>
      <c r="N5" s="6">
        <f t="shared" si="0"/>
        <v>1476</v>
      </c>
      <c r="O5" s="6">
        <f t="shared" ref="O5:P5" si="1">O3+O4</f>
        <v>5190</v>
      </c>
      <c r="P5" s="6">
        <f t="shared" si="1"/>
        <v>20282</v>
      </c>
    </row>
    <row r="6" spans="1:17" s="10" customFormat="1" ht="15.75" x14ac:dyDescent="0.25">
      <c r="A6" s="9" t="s">
        <v>3</v>
      </c>
      <c r="B6" s="19">
        <v>622450</v>
      </c>
      <c r="C6" s="19">
        <v>492156</v>
      </c>
      <c r="D6" s="19">
        <v>442208</v>
      </c>
      <c r="E6" s="19">
        <v>665581</v>
      </c>
      <c r="F6" s="19">
        <v>541912</v>
      </c>
      <c r="G6" s="19">
        <v>293123</v>
      </c>
      <c r="H6" s="19">
        <v>658037</v>
      </c>
      <c r="I6" s="19">
        <v>562116</v>
      </c>
      <c r="J6" s="19">
        <v>404675</v>
      </c>
      <c r="K6" s="19">
        <v>812531</v>
      </c>
      <c r="L6" s="19">
        <v>699516</v>
      </c>
      <c r="M6" s="19">
        <v>542496</v>
      </c>
      <c r="N6" s="19">
        <v>701541</v>
      </c>
      <c r="O6" s="19">
        <f>L6+M6+N6</f>
        <v>1943553</v>
      </c>
      <c r="P6" s="19">
        <f>SUM(C6:N6)</f>
        <v>6815892</v>
      </c>
    </row>
    <row r="7" spans="1:17" s="10" customFormat="1" ht="15.75" x14ac:dyDescent="0.25">
      <c r="A7" s="11" t="s">
        <v>4</v>
      </c>
      <c r="B7" s="26">
        <f t="shared" ref="B7:N7" si="2">B4*22</f>
        <v>1298</v>
      </c>
      <c r="C7" s="26">
        <f t="shared" si="2"/>
        <v>1056</v>
      </c>
      <c r="D7" s="26">
        <f t="shared" si="2"/>
        <v>2024</v>
      </c>
      <c r="E7" s="26">
        <f t="shared" si="2"/>
        <v>2948</v>
      </c>
      <c r="F7" s="26">
        <f t="shared" si="2"/>
        <v>1188</v>
      </c>
      <c r="G7" s="26">
        <f t="shared" si="2"/>
        <v>1078</v>
      </c>
      <c r="H7" s="26">
        <f t="shared" si="2"/>
        <v>3762</v>
      </c>
      <c r="I7" s="26">
        <f t="shared" si="2"/>
        <v>3234</v>
      </c>
      <c r="J7" s="26">
        <f t="shared" si="2"/>
        <v>572</v>
      </c>
      <c r="K7" s="26">
        <f t="shared" si="2"/>
        <v>550</v>
      </c>
      <c r="L7" s="26">
        <f t="shared" si="2"/>
        <v>1518</v>
      </c>
      <c r="M7" s="26">
        <f t="shared" si="2"/>
        <v>902</v>
      </c>
      <c r="N7" s="26">
        <f t="shared" si="2"/>
        <v>638</v>
      </c>
      <c r="O7" s="19">
        <f>L7+M7+N7</f>
        <v>3058</v>
      </c>
      <c r="P7" s="19">
        <f>SUM(C7:N7)</f>
        <v>19470</v>
      </c>
    </row>
    <row r="8" spans="1:17" ht="15.75" x14ac:dyDescent="0.25">
      <c r="A8" s="5" t="s">
        <v>6</v>
      </c>
      <c r="B8" s="27">
        <f t="shared" ref="B8:D8" si="3">B6+B7</f>
        <v>623748</v>
      </c>
      <c r="C8" s="27">
        <f t="shared" si="3"/>
        <v>493212</v>
      </c>
      <c r="D8" s="27">
        <f t="shared" si="3"/>
        <v>444232</v>
      </c>
      <c r="E8" s="27">
        <f t="shared" ref="E8:N8" si="4">E6+E7</f>
        <v>668529</v>
      </c>
      <c r="F8" s="27">
        <f t="shared" si="4"/>
        <v>543100</v>
      </c>
      <c r="G8" s="27">
        <f t="shared" si="4"/>
        <v>294201</v>
      </c>
      <c r="H8" s="27">
        <f t="shared" si="4"/>
        <v>661799</v>
      </c>
      <c r="I8" s="27">
        <f t="shared" si="4"/>
        <v>565350</v>
      </c>
      <c r="J8" s="27">
        <f t="shared" si="4"/>
        <v>405247</v>
      </c>
      <c r="K8" s="27">
        <f t="shared" si="4"/>
        <v>813081</v>
      </c>
      <c r="L8" s="27">
        <f t="shared" si="4"/>
        <v>701034</v>
      </c>
      <c r="M8" s="27">
        <f t="shared" si="4"/>
        <v>543398</v>
      </c>
      <c r="N8" s="27">
        <f t="shared" si="4"/>
        <v>702179</v>
      </c>
      <c r="O8" s="27">
        <f t="shared" ref="O8:P8" si="5">O6+O7</f>
        <v>1946611</v>
      </c>
      <c r="P8" s="27">
        <f t="shared" si="5"/>
        <v>6835362</v>
      </c>
      <c r="Q8" s="10"/>
    </row>
    <row r="9" spans="1:17" ht="26.1" customHeight="1" x14ac:dyDescent="0.25"/>
    <row r="10" spans="1:17" x14ac:dyDescent="0.25">
      <c r="P10" s="30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2"/>
  <sheetViews>
    <sheetView zoomScale="80" zoomScaleNormal="80" workbookViewId="0">
      <selection activeCell="S22" sqref="S22"/>
    </sheetView>
  </sheetViews>
  <sheetFormatPr defaultRowHeight="15" x14ac:dyDescent="0.25"/>
  <cols>
    <col min="1" max="1" width="35.5703125" bestFit="1" customWidth="1"/>
    <col min="2" max="14" width="14.42578125" customWidth="1"/>
    <col min="15" max="15" width="16" customWidth="1"/>
    <col min="16" max="16" width="17" customWidth="1"/>
    <col min="17" max="17" width="12.42578125" customWidth="1"/>
    <col min="18" max="19" width="12.28515625" bestFit="1" customWidth="1"/>
    <col min="20" max="20" width="15.5703125" customWidth="1"/>
    <col min="21" max="21" width="14.5703125" customWidth="1"/>
  </cols>
  <sheetData>
    <row r="1" spans="1:20" x14ac:dyDescent="0.25">
      <c r="A1" s="12">
        <f>'MS Monthly SOR'!A1</f>
        <v>46283</v>
      </c>
    </row>
    <row r="2" spans="1:20" ht="15.6" customHeight="1" x14ac:dyDescent="0.25">
      <c r="A2" s="1" t="s">
        <v>0</v>
      </c>
      <c r="B2" s="2">
        <v>45923</v>
      </c>
      <c r="C2" s="2">
        <v>45953</v>
      </c>
      <c r="D2" s="2">
        <v>45984</v>
      </c>
      <c r="E2" s="2">
        <v>46014</v>
      </c>
      <c r="F2" s="2">
        <v>46045</v>
      </c>
      <c r="G2" s="2">
        <v>46076</v>
      </c>
      <c r="H2" s="2">
        <v>46104</v>
      </c>
      <c r="I2" s="2">
        <v>46135</v>
      </c>
      <c r="J2" s="2">
        <v>46165</v>
      </c>
      <c r="K2" s="2">
        <v>46196</v>
      </c>
      <c r="L2" s="2">
        <v>46226</v>
      </c>
      <c r="M2" s="2">
        <v>46257</v>
      </c>
      <c r="N2" s="2">
        <v>46288</v>
      </c>
      <c r="O2" s="37" t="s">
        <v>25</v>
      </c>
      <c r="P2" s="36" t="s">
        <v>54</v>
      </c>
    </row>
    <row r="3" spans="1:20" ht="15.75" x14ac:dyDescent="0.25">
      <c r="A3" s="3" t="s">
        <v>30</v>
      </c>
      <c r="B3" s="54">
        <v>2498</v>
      </c>
      <c r="C3" s="54">
        <f>1301+1200</f>
        <v>2501</v>
      </c>
      <c r="D3" s="54">
        <f>750+8211+263+1435+18000</f>
        <v>28659</v>
      </c>
      <c r="E3" s="54">
        <v>0</v>
      </c>
      <c r="F3" s="54">
        <v>0</v>
      </c>
      <c r="G3" s="54">
        <f>1245+2609+1100+104</f>
        <v>5058</v>
      </c>
      <c r="H3" s="54">
        <f>2001+554</f>
        <v>2555</v>
      </c>
      <c r="I3" s="54">
        <v>1000</v>
      </c>
      <c r="J3" s="54">
        <f>8211+968+174+2130+933+50136+2172</f>
        <v>64724</v>
      </c>
      <c r="K3" s="54">
        <v>2517</v>
      </c>
      <c r="L3" s="54">
        <v>1086</v>
      </c>
      <c r="M3" s="54">
        <f>887+484</f>
        <v>1371</v>
      </c>
      <c r="N3" s="54">
        <v>0</v>
      </c>
      <c r="O3" s="13">
        <f>L3+M3+N3</f>
        <v>2457</v>
      </c>
      <c r="P3" s="18">
        <f>SUM(C3:N3)</f>
        <v>109471</v>
      </c>
      <c r="Q3" s="33"/>
      <c r="S3" s="29"/>
    </row>
    <row r="4" spans="1:20" ht="15.75" x14ac:dyDescent="0.25">
      <c r="A4" s="3" t="s">
        <v>35</v>
      </c>
      <c r="B4" s="54">
        <v>0</v>
      </c>
      <c r="C4" s="54">
        <v>0</v>
      </c>
      <c r="D4" s="54">
        <v>1</v>
      </c>
      <c r="E4" s="54">
        <v>0</v>
      </c>
      <c r="F4" s="54">
        <v>0</v>
      </c>
      <c r="G4" s="54">
        <v>0</v>
      </c>
      <c r="H4" s="54">
        <v>54</v>
      </c>
      <c r="I4" s="54">
        <v>0</v>
      </c>
      <c r="J4" s="54">
        <v>0</v>
      </c>
      <c r="K4" s="54">
        <v>0</v>
      </c>
      <c r="L4" s="54">
        <v>0</v>
      </c>
      <c r="M4" s="54">
        <v>0</v>
      </c>
      <c r="N4" s="54">
        <v>0</v>
      </c>
      <c r="O4" s="13">
        <f t="shared" ref="O4:O19" si="0">L4+M4+N4</f>
        <v>0</v>
      </c>
      <c r="P4" s="18">
        <f t="shared" ref="P4:P19" si="1">SUM(C4:N4)</f>
        <v>55</v>
      </c>
      <c r="Q4" s="34"/>
    </row>
    <row r="5" spans="1:20" ht="15.75" x14ac:dyDescent="0.25">
      <c r="A5" s="3" t="s">
        <v>58</v>
      </c>
      <c r="B5" s="54">
        <v>0</v>
      </c>
      <c r="C5" s="54">
        <v>6</v>
      </c>
      <c r="D5" s="54">
        <v>0</v>
      </c>
      <c r="E5" s="54">
        <v>8</v>
      </c>
      <c r="F5" s="54">
        <v>0</v>
      </c>
      <c r="G5" s="54">
        <v>0</v>
      </c>
      <c r="H5" s="54">
        <v>5</v>
      </c>
      <c r="I5" s="54">
        <v>0</v>
      </c>
      <c r="J5" s="54">
        <v>16</v>
      </c>
      <c r="K5" s="54">
        <v>33</v>
      </c>
      <c r="L5" s="54">
        <v>0</v>
      </c>
      <c r="M5" s="54">
        <v>0</v>
      </c>
      <c r="N5" s="54">
        <v>9</v>
      </c>
      <c r="O5" s="13">
        <f t="shared" si="0"/>
        <v>9</v>
      </c>
      <c r="P5" s="18">
        <f t="shared" si="1"/>
        <v>77</v>
      </c>
      <c r="Q5" s="35"/>
    </row>
    <row r="6" spans="1:20" ht="15.75" x14ac:dyDescent="0.25">
      <c r="A6" s="3" t="s">
        <v>38</v>
      </c>
      <c r="B6" s="54">
        <v>6</v>
      </c>
      <c r="C6" s="54">
        <v>0</v>
      </c>
      <c r="D6" s="54">
        <v>0</v>
      </c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1</v>
      </c>
      <c r="L6" s="54">
        <v>0</v>
      </c>
      <c r="M6" s="54">
        <v>0</v>
      </c>
      <c r="N6" s="54">
        <v>0</v>
      </c>
      <c r="O6" s="13">
        <f t="shared" si="0"/>
        <v>0</v>
      </c>
      <c r="P6" s="18">
        <f t="shared" si="1"/>
        <v>1</v>
      </c>
      <c r="Q6" s="34"/>
      <c r="T6" s="29"/>
    </row>
    <row r="7" spans="1:20" ht="15.75" x14ac:dyDescent="0.25">
      <c r="A7" s="3" t="s">
        <v>74</v>
      </c>
      <c r="B7" s="54">
        <v>0</v>
      </c>
      <c r="C7" s="54">
        <v>0</v>
      </c>
      <c r="D7" s="54">
        <v>0</v>
      </c>
      <c r="E7" s="54">
        <v>56</v>
      </c>
      <c r="F7" s="54">
        <v>0</v>
      </c>
      <c r="G7" s="54">
        <v>0</v>
      </c>
      <c r="H7" s="54">
        <v>542</v>
      </c>
      <c r="I7" s="54">
        <v>0</v>
      </c>
      <c r="J7" s="54">
        <v>0</v>
      </c>
      <c r="K7" s="54">
        <v>0</v>
      </c>
      <c r="L7" s="54">
        <v>0</v>
      </c>
      <c r="M7" s="54">
        <v>0</v>
      </c>
      <c r="N7" s="54">
        <v>0</v>
      </c>
      <c r="O7" s="13">
        <f t="shared" si="0"/>
        <v>0</v>
      </c>
      <c r="P7" s="18">
        <f t="shared" si="1"/>
        <v>598</v>
      </c>
      <c r="Q7" s="34"/>
      <c r="T7" t="s">
        <v>26</v>
      </c>
    </row>
    <row r="8" spans="1:20" ht="15.75" x14ac:dyDescent="0.25">
      <c r="A8" s="3" t="s">
        <v>71</v>
      </c>
      <c r="B8" s="54">
        <v>1</v>
      </c>
      <c r="C8" s="54">
        <v>0</v>
      </c>
      <c r="D8" s="54">
        <v>0</v>
      </c>
      <c r="E8" s="54">
        <v>1</v>
      </c>
      <c r="F8" s="54">
        <v>0</v>
      </c>
      <c r="G8" s="54">
        <v>1</v>
      </c>
      <c r="H8" s="54">
        <v>2</v>
      </c>
      <c r="I8" s="54">
        <v>0</v>
      </c>
      <c r="J8" s="54">
        <v>0</v>
      </c>
      <c r="K8" s="54">
        <v>15</v>
      </c>
      <c r="L8" s="54">
        <v>0</v>
      </c>
      <c r="M8" s="54">
        <v>0</v>
      </c>
      <c r="N8" s="54">
        <v>0</v>
      </c>
      <c r="O8" s="13">
        <f t="shared" si="0"/>
        <v>0</v>
      </c>
      <c r="P8" s="18">
        <f t="shared" si="1"/>
        <v>19</v>
      </c>
    </row>
    <row r="9" spans="1:20" ht="15.75" x14ac:dyDescent="0.25">
      <c r="A9" s="3" t="s">
        <v>40</v>
      </c>
      <c r="B9" s="54">
        <v>604</v>
      </c>
      <c r="C9" s="54">
        <v>392</v>
      </c>
      <c r="D9" s="54">
        <v>0</v>
      </c>
      <c r="E9" s="54">
        <v>201</v>
      </c>
      <c r="F9" s="54">
        <v>0</v>
      </c>
      <c r="G9" s="54">
        <v>3446</v>
      </c>
      <c r="H9" s="54">
        <v>0</v>
      </c>
      <c r="I9" s="54">
        <v>0</v>
      </c>
      <c r="J9" s="54">
        <v>0</v>
      </c>
      <c r="K9" s="54">
        <f>369+925</f>
        <v>1294</v>
      </c>
      <c r="L9" s="54">
        <v>0</v>
      </c>
      <c r="M9" s="54">
        <v>101</v>
      </c>
      <c r="N9" s="54">
        <v>0</v>
      </c>
      <c r="O9" s="13">
        <f t="shared" si="0"/>
        <v>101</v>
      </c>
      <c r="P9" s="18">
        <f t="shared" si="1"/>
        <v>5434</v>
      </c>
    </row>
    <row r="10" spans="1:20" ht="15.75" x14ac:dyDescent="0.25">
      <c r="A10" s="3" t="s">
        <v>42</v>
      </c>
      <c r="B10" s="54">
        <v>0</v>
      </c>
      <c r="C10" s="54">
        <v>0</v>
      </c>
      <c r="D10" s="54">
        <v>0</v>
      </c>
      <c r="E10" s="54">
        <f>64+148+261</f>
        <v>473</v>
      </c>
      <c r="F10" s="54">
        <v>0</v>
      </c>
      <c r="G10" s="54">
        <v>0</v>
      </c>
      <c r="H10" s="54">
        <v>462</v>
      </c>
      <c r="I10" s="54">
        <v>0</v>
      </c>
      <c r="J10" s="54">
        <v>0</v>
      </c>
      <c r="K10" s="54">
        <v>0</v>
      </c>
      <c r="L10" s="54">
        <v>0</v>
      </c>
      <c r="M10" s="54">
        <v>0</v>
      </c>
      <c r="N10" s="54">
        <v>0</v>
      </c>
      <c r="O10" s="13">
        <f t="shared" si="0"/>
        <v>0</v>
      </c>
      <c r="P10" s="18">
        <f t="shared" si="1"/>
        <v>935</v>
      </c>
    </row>
    <row r="11" spans="1:20" ht="15.75" x14ac:dyDescent="0.25">
      <c r="A11" s="3" t="s">
        <v>31</v>
      </c>
      <c r="B11" s="54">
        <v>0</v>
      </c>
      <c r="C11" s="54">
        <v>0</v>
      </c>
      <c r="D11" s="54">
        <v>1437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7352</v>
      </c>
      <c r="M11" s="54">
        <v>0</v>
      </c>
      <c r="N11" s="54">
        <v>0</v>
      </c>
      <c r="O11" s="13">
        <f t="shared" si="0"/>
        <v>7352</v>
      </c>
      <c r="P11" s="18">
        <f t="shared" si="1"/>
        <v>8789</v>
      </c>
    </row>
    <row r="12" spans="1:20" ht="15.75" x14ac:dyDescent="0.25">
      <c r="A12" s="3" t="s">
        <v>45</v>
      </c>
      <c r="B12" s="54">
        <v>0</v>
      </c>
      <c r="C12" s="54">
        <v>0</v>
      </c>
      <c r="D12" s="54">
        <v>0</v>
      </c>
      <c r="E12" s="54">
        <f>1153+7296+10944</f>
        <v>19393</v>
      </c>
      <c r="F12" s="54">
        <v>0</v>
      </c>
      <c r="G12" s="54">
        <v>250</v>
      </c>
      <c r="H12" s="54">
        <v>0</v>
      </c>
      <c r="I12" s="54">
        <v>0</v>
      </c>
      <c r="J12" s="54">
        <v>0</v>
      </c>
      <c r="K12" s="54">
        <v>3313</v>
      </c>
      <c r="L12" s="54">
        <v>0</v>
      </c>
      <c r="M12" s="54">
        <v>0</v>
      </c>
      <c r="N12" s="54">
        <v>720</v>
      </c>
      <c r="O12" s="13">
        <f t="shared" si="0"/>
        <v>720</v>
      </c>
      <c r="P12" s="18">
        <f t="shared" si="1"/>
        <v>23676</v>
      </c>
    </row>
    <row r="13" spans="1:20" ht="15.75" x14ac:dyDescent="0.25">
      <c r="A13" s="3" t="s">
        <v>32</v>
      </c>
      <c r="B13" s="54">
        <v>0</v>
      </c>
      <c r="C13" s="54">
        <v>0</v>
      </c>
      <c r="D13" s="54">
        <v>4</v>
      </c>
      <c r="E13" s="54">
        <v>0</v>
      </c>
      <c r="F13" s="54">
        <v>0</v>
      </c>
      <c r="G13" s="54">
        <v>0</v>
      </c>
      <c r="H13" s="54">
        <v>0</v>
      </c>
      <c r="I13" s="54">
        <v>0</v>
      </c>
      <c r="J13" s="54">
        <v>0</v>
      </c>
      <c r="K13" s="54">
        <v>2</v>
      </c>
      <c r="L13" s="54">
        <v>0</v>
      </c>
      <c r="M13" s="54">
        <v>0</v>
      </c>
      <c r="N13" s="54">
        <v>0</v>
      </c>
      <c r="O13" s="13">
        <f t="shared" si="0"/>
        <v>0</v>
      </c>
      <c r="P13" s="18">
        <f t="shared" si="1"/>
        <v>6</v>
      </c>
    </row>
    <row r="14" spans="1:20" ht="15.75" x14ac:dyDescent="0.25">
      <c r="A14" s="3" t="s">
        <v>49</v>
      </c>
      <c r="B14" s="54">
        <v>109</v>
      </c>
      <c r="C14" s="54">
        <v>30</v>
      </c>
      <c r="D14" s="54">
        <v>107</v>
      </c>
      <c r="E14" s="54">
        <v>6</v>
      </c>
      <c r="F14" s="54">
        <v>6</v>
      </c>
      <c r="G14" s="54">
        <v>47</v>
      </c>
      <c r="H14" s="54">
        <v>17</v>
      </c>
      <c r="I14" s="54">
        <v>12</v>
      </c>
      <c r="J14" s="54">
        <v>10</v>
      </c>
      <c r="K14" s="54">
        <v>7</v>
      </c>
      <c r="L14" s="54">
        <v>0</v>
      </c>
      <c r="M14" s="54">
        <v>4</v>
      </c>
      <c r="N14" s="54">
        <v>2</v>
      </c>
      <c r="O14" s="13">
        <f t="shared" si="0"/>
        <v>6</v>
      </c>
      <c r="P14" s="18">
        <f t="shared" si="1"/>
        <v>248</v>
      </c>
    </row>
    <row r="15" spans="1:20" ht="15.75" x14ac:dyDescent="0.25">
      <c r="A15" s="3" t="s">
        <v>55</v>
      </c>
      <c r="B15" s="54">
        <v>0</v>
      </c>
      <c r="C15" s="54">
        <v>0</v>
      </c>
      <c r="D15" s="54">
        <v>0</v>
      </c>
      <c r="E15" s="54">
        <v>43</v>
      </c>
      <c r="F15" s="54">
        <v>0</v>
      </c>
      <c r="G15" s="54">
        <v>292800</v>
      </c>
      <c r="H15" s="54">
        <v>73</v>
      </c>
      <c r="I15" s="54">
        <v>0</v>
      </c>
      <c r="J15" s="54">
        <v>0</v>
      </c>
      <c r="K15" s="54">
        <v>2003</v>
      </c>
      <c r="L15" s="54">
        <v>43158</v>
      </c>
      <c r="M15" s="54">
        <v>17601</v>
      </c>
      <c r="N15" s="54">
        <v>7581</v>
      </c>
      <c r="O15" s="13">
        <f t="shared" si="0"/>
        <v>68340</v>
      </c>
      <c r="P15" s="18">
        <f t="shared" si="1"/>
        <v>363259</v>
      </c>
    </row>
    <row r="16" spans="1:20" ht="15.75" x14ac:dyDescent="0.25">
      <c r="A16" s="3" t="s">
        <v>77</v>
      </c>
      <c r="B16" s="54">
        <v>0</v>
      </c>
      <c r="C16" s="54">
        <v>0</v>
      </c>
      <c r="D16" s="54">
        <v>0</v>
      </c>
      <c r="E16" s="54">
        <v>0</v>
      </c>
      <c r="F16" s="54">
        <v>139</v>
      </c>
      <c r="G16" s="54">
        <v>0</v>
      </c>
      <c r="H16" s="54">
        <v>10002</v>
      </c>
      <c r="I16" s="54">
        <v>0</v>
      </c>
      <c r="J16" s="54">
        <v>0</v>
      </c>
      <c r="K16" s="54">
        <v>21400</v>
      </c>
      <c r="L16" s="54">
        <v>0</v>
      </c>
      <c r="M16" s="54">
        <v>0</v>
      </c>
      <c r="N16" s="54">
        <v>0</v>
      </c>
      <c r="O16" s="13">
        <f t="shared" si="0"/>
        <v>0</v>
      </c>
      <c r="P16" s="18">
        <f t="shared" si="1"/>
        <v>31541</v>
      </c>
    </row>
    <row r="17" spans="1:21" ht="15.75" x14ac:dyDescent="0.25">
      <c r="A17" s="3" t="s">
        <v>83</v>
      </c>
      <c r="B17" s="54">
        <v>0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13">
        <f t="shared" si="0"/>
        <v>0</v>
      </c>
      <c r="P17" s="18">
        <f t="shared" si="1"/>
        <v>0</v>
      </c>
    </row>
    <row r="18" spans="1:21" ht="15.75" x14ac:dyDescent="0.25">
      <c r="A18" s="3" t="s">
        <v>82</v>
      </c>
      <c r="B18" s="54">
        <v>0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9</v>
      </c>
      <c r="K18" s="54">
        <v>0</v>
      </c>
      <c r="L18" s="54">
        <v>0</v>
      </c>
      <c r="M18" s="54">
        <v>0</v>
      </c>
      <c r="N18" s="54">
        <v>0</v>
      </c>
      <c r="O18" s="13">
        <f t="shared" si="0"/>
        <v>0</v>
      </c>
      <c r="P18" s="18">
        <f t="shared" si="1"/>
        <v>9</v>
      </c>
    </row>
    <row r="19" spans="1:21" ht="15.75" x14ac:dyDescent="0.25">
      <c r="A19" s="3" t="s">
        <v>81</v>
      </c>
      <c r="B19" s="54">
        <v>0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14</v>
      </c>
      <c r="I19" s="54">
        <v>50</v>
      </c>
      <c r="J19" s="54">
        <v>128</v>
      </c>
      <c r="K19" s="78">
        <v>0</v>
      </c>
      <c r="L19" s="78">
        <v>0</v>
      </c>
      <c r="M19" s="78">
        <v>0</v>
      </c>
      <c r="N19" s="78">
        <v>0</v>
      </c>
      <c r="O19" s="13">
        <f t="shared" si="0"/>
        <v>0</v>
      </c>
      <c r="P19" s="18">
        <f t="shared" si="1"/>
        <v>192</v>
      </c>
    </row>
    <row r="20" spans="1:21" ht="15.75" x14ac:dyDescent="0.25">
      <c r="A20" s="5" t="s">
        <v>5</v>
      </c>
      <c r="B20" s="6">
        <f t="shared" ref="B20:N20" si="2">SUM(B3:B19)</f>
        <v>3218</v>
      </c>
      <c r="C20" s="6">
        <f t="shared" si="2"/>
        <v>2929</v>
      </c>
      <c r="D20" s="6">
        <f t="shared" si="2"/>
        <v>30208</v>
      </c>
      <c r="E20" s="6">
        <f t="shared" si="2"/>
        <v>20181</v>
      </c>
      <c r="F20" s="6">
        <f t="shared" si="2"/>
        <v>145</v>
      </c>
      <c r="G20" s="6">
        <f t="shared" si="2"/>
        <v>301602</v>
      </c>
      <c r="H20" s="6">
        <f t="shared" si="2"/>
        <v>13726</v>
      </c>
      <c r="I20" s="6">
        <f t="shared" si="2"/>
        <v>1062</v>
      </c>
      <c r="J20" s="6">
        <f t="shared" si="2"/>
        <v>64887</v>
      </c>
      <c r="K20" s="6">
        <f t="shared" si="2"/>
        <v>30585</v>
      </c>
      <c r="L20" s="6">
        <f t="shared" si="2"/>
        <v>51596</v>
      </c>
      <c r="M20" s="6">
        <f t="shared" si="2"/>
        <v>19077</v>
      </c>
      <c r="N20" s="6">
        <f t="shared" si="2"/>
        <v>8312</v>
      </c>
      <c r="O20" s="23">
        <f>SUM(O3:O19)</f>
        <v>78985</v>
      </c>
      <c r="P20" s="24">
        <f>SUM(P3:P19)</f>
        <v>544310</v>
      </c>
      <c r="U20" t="s">
        <v>26</v>
      </c>
    </row>
    <row r="21" spans="1:21" x14ac:dyDescent="0.25">
      <c r="A21" s="17" t="s">
        <v>34</v>
      </c>
      <c r="B21" s="55">
        <v>102697.3</v>
      </c>
      <c r="C21" s="55">
        <f>39060+148977.29+14116</f>
        <v>202153.29</v>
      </c>
      <c r="D21" s="55">
        <f>80107.5+49430.22+83990.55+43200</f>
        <v>256728.27000000002</v>
      </c>
      <c r="E21" s="55">
        <v>0</v>
      </c>
      <c r="F21" s="55">
        <v>0</v>
      </c>
      <c r="G21" s="55">
        <f>84946.35+114796+10538+11440</f>
        <v>221720.35</v>
      </c>
      <c r="H21" s="55">
        <f>472880+337066.5</f>
        <v>809946.5</v>
      </c>
      <c r="I21" s="55">
        <v>28750</v>
      </c>
      <c r="J21" s="55">
        <f>49430.22+153912+101920+603194.25+100764+1102992+119460</f>
        <v>2231672.4699999997</v>
      </c>
      <c r="K21" s="55">
        <v>977298</v>
      </c>
      <c r="L21" s="55">
        <v>124890</v>
      </c>
      <c r="M21" s="55">
        <f>60752+55660</f>
        <v>116412</v>
      </c>
      <c r="N21" s="55">
        <v>0</v>
      </c>
      <c r="O21" s="61">
        <f>L21+M21+N21</f>
        <v>241302</v>
      </c>
      <c r="P21" s="65">
        <f>SUM(C21:N21)</f>
        <v>4969570.88</v>
      </c>
      <c r="Q21" s="21"/>
      <c r="U21" t="s">
        <v>26</v>
      </c>
    </row>
    <row r="22" spans="1:21" s="7" customFormat="1" ht="15.75" x14ac:dyDescent="0.25">
      <c r="A22" s="3" t="s">
        <v>36</v>
      </c>
      <c r="B22" s="55">
        <v>0</v>
      </c>
      <c r="C22" s="55">
        <v>0</v>
      </c>
      <c r="D22" s="55">
        <v>1856</v>
      </c>
      <c r="E22" s="55">
        <v>0</v>
      </c>
      <c r="F22" s="55">
        <v>0</v>
      </c>
      <c r="G22" s="55">
        <v>0</v>
      </c>
      <c r="H22" s="55">
        <v>15835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61">
        <f t="shared" ref="O22:O37" si="3">L22+M22+N22</f>
        <v>0</v>
      </c>
      <c r="P22" s="65">
        <f t="shared" ref="P22:P37" si="4">SUM(C22:N22)</f>
        <v>17691</v>
      </c>
    </row>
    <row r="23" spans="1:21" s="7" customFormat="1" ht="15.75" x14ac:dyDescent="0.25">
      <c r="A23" s="3" t="s">
        <v>37</v>
      </c>
      <c r="B23" s="55">
        <v>0</v>
      </c>
      <c r="C23" s="55">
        <v>22434</v>
      </c>
      <c r="D23" s="55">
        <v>0</v>
      </c>
      <c r="E23" s="55">
        <v>8300</v>
      </c>
      <c r="F23" s="55">
        <v>0</v>
      </c>
      <c r="G23" s="55">
        <v>0</v>
      </c>
      <c r="H23" s="55">
        <v>86933</v>
      </c>
      <c r="I23" s="55">
        <v>0</v>
      </c>
      <c r="J23" s="55">
        <v>52346</v>
      </c>
      <c r="K23" s="55">
        <v>104696</v>
      </c>
      <c r="L23" s="55">
        <v>0</v>
      </c>
      <c r="M23" s="55">
        <v>0</v>
      </c>
      <c r="N23" s="55">
        <v>2669</v>
      </c>
      <c r="O23" s="61">
        <f t="shared" si="3"/>
        <v>2669</v>
      </c>
      <c r="P23" s="65">
        <f t="shared" si="4"/>
        <v>277378</v>
      </c>
    </row>
    <row r="24" spans="1:21" s="7" customFormat="1" ht="18" x14ac:dyDescent="0.35">
      <c r="A24" s="3" t="s">
        <v>39</v>
      </c>
      <c r="B24" s="55">
        <v>6510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1207.7</v>
      </c>
      <c r="L24" s="55">
        <v>0</v>
      </c>
      <c r="M24" s="55">
        <v>0</v>
      </c>
      <c r="N24" s="55">
        <v>0</v>
      </c>
      <c r="O24" s="61">
        <f t="shared" si="3"/>
        <v>0</v>
      </c>
      <c r="P24" s="65">
        <f t="shared" si="4"/>
        <v>1207.7</v>
      </c>
      <c r="R24" s="31"/>
    </row>
    <row r="25" spans="1:21" s="7" customFormat="1" ht="15.75" x14ac:dyDescent="0.25">
      <c r="A25" s="3" t="s">
        <v>75</v>
      </c>
      <c r="B25" s="55">
        <v>0</v>
      </c>
      <c r="C25" s="55">
        <v>0</v>
      </c>
      <c r="D25" s="55">
        <v>0</v>
      </c>
      <c r="E25" s="55">
        <v>25450</v>
      </c>
      <c r="F25" s="55">
        <v>0</v>
      </c>
      <c r="G25" s="55">
        <v>0</v>
      </c>
      <c r="H25" s="55">
        <v>246950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61">
        <f t="shared" si="3"/>
        <v>0</v>
      </c>
      <c r="P25" s="65">
        <f t="shared" si="4"/>
        <v>272400</v>
      </c>
    </row>
    <row r="26" spans="1:21" s="7" customFormat="1" ht="15.75" x14ac:dyDescent="0.25">
      <c r="A26" s="3" t="s">
        <v>72</v>
      </c>
      <c r="B26" s="55">
        <v>1349020</v>
      </c>
      <c r="C26" s="55">
        <v>0</v>
      </c>
      <c r="D26" s="55">
        <v>0</v>
      </c>
      <c r="E26" s="55">
        <v>483586</v>
      </c>
      <c r="F26" s="55">
        <v>0</v>
      </c>
      <c r="G26" s="55">
        <v>682600</v>
      </c>
      <c r="H26" s="55">
        <f>5599694.41+487300</f>
        <v>6086994.4100000001</v>
      </c>
      <c r="I26" s="55">
        <v>0</v>
      </c>
      <c r="J26" s="55">
        <v>0</v>
      </c>
      <c r="K26" s="55">
        <v>288133</v>
      </c>
      <c r="L26" s="55">
        <v>0</v>
      </c>
      <c r="M26" s="55">
        <v>0</v>
      </c>
      <c r="N26" s="55">
        <v>0</v>
      </c>
      <c r="O26" s="61">
        <f t="shared" si="3"/>
        <v>0</v>
      </c>
      <c r="P26" s="65">
        <f t="shared" si="4"/>
        <v>7541313.4100000001</v>
      </c>
    </row>
    <row r="27" spans="1:21" s="7" customFormat="1" ht="15.75" x14ac:dyDescent="0.25">
      <c r="A27" s="3" t="s">
        <v>41</v>
      </c>
      <c r="B27" s="55">
        <v>12092.08</v>
      </c>
      <c r="C27" s="55">
        <v>25244.799999999999</v>
      </c>
      <c r="D27" s="55">
        <v>0</v>
      </c>
      <c r="E27" s="55">
        <v>28472</v>
      </c>
      <c r="F27" s="55">
        <v>0</v>
      </c>
      <c r="G27" s="55">
        <v>126214.1</v>
      </c>
      <c r="H27" s="55">
        <v>0</v>
      </c>
      <c r="I27" s="55">
        <v>0</v>
      </c>
      <c r="J27" s="55">
        <v>0</v>
      </c>
      <c r="K27" s="55">
        <f>20531.16+60024.22</f>
        <v>80555.38</v>
      </c>
      <c r="L27" s="55">
        <v>0</v>
      </c>
      <c r="M27" s="55">
        <v>12972</v>
      </c>
      <c r="N27" s="55">
        <v>0</v>
      </c>
      <c r="O27" s="61">
        <f t="shared" si="3"/>
        <v>12972</v>
      </c>
      <c r="P27" s="65">
        <f t="shared" si="4"/>
        <v>273458.28000000003</v>
      </c>
    </row>
    <row r="28" spans="1:21" s="7" customFormat="1" ht="15.75" x14ac:dyDescent="0.25">
      <c r="A28" s="3" t="s">
        <v>43</v>
      </c>
      <c r="B28" s="55">
        <v>0</v>
      </c>
      <c r="C28" s="55">
        <v>0</v>
      </c>
      <c r="D28" s="55">
        <v>0</v>
      </c>
      <c r="E28" s="55">
        <f>9011.2+22400.28+38021.4</f>
        <v>69432.88</v>
      </c>
      <c r="F28" s="55">
        <v>0</v>
      </c>
      <c r="G28" s="55">
        <v>0</v>
      </c>
      <c r="H28" s="55">
        <v>92723.4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61">
        <f t="shared" si="3"/>
        <v>0</v>
      </c>
      <c r="P28" s="65">
        <f t="shared" si="4"/>
        <v>162156.28</v>
      </c>
    </row>
    <row r="29" spans="1:21" s="7" customFormat="1" ht="15.75" x14ac:dyDescent="0.25">
      <c r="A29" s="3" t="s">
        <v>44</v>
      </c>
      <c r="B29" s="55">
        <v>0</v>
      </c>
      <c r="C29" s="55">
        <v>0</v>
      </c>
      <c r="D29" s="55">
        <v>55409.34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288123.58</v>
      </c>
      <c r="M29" s="55">
        <v>0</v>
      </c>
      <c r="N29" s="55">
        <v>0</v>
      </c>
      <c r="O29" s="61">
        <f t="shared" si="3"/>
        <v>288123.58</v>
      </c>
      <c r="P29" s="65">
        <f t="shared" si="4"/>
        <v>343532.92000000004</v>
      </c>
    </row>
    <row r="30" spans="1:21" s="7" customFormat="1" ht="18" x14ac:dyDescent="0.35">
      <c r="A30" s="3" t="s">
        <v>46</v>
      </c>
      <c r="B30" s="55">
        <v>0</v>
      </c>
      <c r="C30" s="55">
        <v>0</v>
      </c>
      <c r="D30" s="55">
        <v>0</v>
      </c>
      <c r="E30" s="55">
        <f>98206.56+14446.08+22052.16</f>
        <v>134704.79999999999</v>
      </c>
      <c r="F30" s="55">
        <v>0</v>
      </c>
      <c r="G30" s="55">
        <f>15411.26+15411.26</f>
        <v>30822.52</v>
      </c>
      <c r="H30" s="55">
        <v>0</v>
      </c>
      <c r="I30" s="55">
        <v>0</v>
      </c>
      <c r="J30" s="55">
        <v>0</v>
      </c>
      <c r="K30" s="55">
        <v>228329.28</v>
      </c>
      <c r="L30" s="55">
        <v>0</v>
      </c>
      <c r="M30" s="55">
        <v>0</v>
      </c>
      <c r="N30" s="55">
        <v>17028</v>
      </c>
      <c r="O30" s="61">
        <f t="shared" si="3"/>
        <v>17028</v>
      </c>
      <c r="P30" s="65">
        <f t="shared" si="4"/>
        <v>410884.6</v>
      </c>
      <c r="R30" s="32"/>
    </row>
    <row r="31" spans="1:21" s="7" customFormat="1" ht="18" x14ac:dyDescent="0.35">
      <c r="A31" s="3" t="s">
        <v>33</v>
      </c>
      <c r="B31" s="55">
        <v>0</v>
      </c>
      <c r="C31" s="55">
        <v>0</v>
      </c>
      <c r="D31" s="55">
        <v>3258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2000</v>
      </c>
      <c r="L31" s="55">
        <v>0</v>
      </c>
      <c r="M31" s="55">
        <v>0</v>
      </c>
      <c r="N31" s="55">
        <v>0</v>
      </c>
      <c r="O31" s="61">
        <f t="shared" si="3"/>
        <v>0</v>
      </c>
      <c r="P31" s="65">
        <f t="shared" si="4"/>
        <v>5258</v>
      </c>
      <c r="R31" s="32"/>
    </row>
    <row r="32" spans="1:21" s="7" customFormat="1" ht="18" x14ac:dyDescent="0.35">
      <c r="A32" s="3" t="s">
        <v>50</v>
      </c>
      <c r="B32" s="55">
        <v>334020</v>
      </c>
      <c r="C32" s="55">
        <v>92400</v>
      </c>
      <c r="D32" s="55">
        <v>328710</v>
      </c>
      <c r="E32" s="55">
        <v>18480</v>
      </c>
      <c r="F32" s="55">
        <v>33080</v>
      </c>
      <c r="G32" s="55">
        <v>144760</v>
      </c>
      <c r="H32" s="55">
        <v>49742</v>
      </c>
      <c r="I32" s="55">
        <v>36960</v>
      </c>
      <c r="J32" s="55">
        <v>30800</v>
      </c>
      <c r="K32" s="55">
        <v>21560</v>
      </c>
      <c r="L32" s="55">
        <v>0</v>
      </c>
      <c r="M32" s="55">
        <v>12320</v>
      </c>
      <c r="N32" s="55">
        <v>6160</v>
      </c>
      <c r="O32" s="61">
        <f t="shared" si="3"/>
        <v>18480</v>
      </c>
      <c r="P32" s="65">
        <f t="shared" si="4"/>
        <v>774972</v>
      </c>
      <c r="R32" s="32"/>
    </row>
    <row r="33" spans="1:16" s="7" customFormat="1" ht="15.75" x14ac:dyDescent="0.25">
      <c r="A33" s="3" t="s">
        <v>56</v>
      </c>
      <c r="B33" s="55">
        <v>0</v>
      </c>
      <c r="C33" s="55">
        <v>0</v>
      </c>
      <c r="D33" s="55">
        <v>0</v>
      </c>
      <c r="E33" s="55">
        <v>110660</v>
      </c>
      <c r="F33" s="55">
        <v>0</v>
      </c>
      <c r="G33" s="55">
        <v>14684938</v>
      </c>
      <c r="H33" s="55">
        <v>1179908</v>
      </c>
      <c r="I33" s="55">
        <v>0</v>
      </c>
      <c r="J33" s="55">
        <v>0</v>
      </c>
      <c r="K33" s="55">
        <v>554068</v>
      </c>
      <c r="L33" s="55">
        <v>674644</v>
      </c>
      <c r="M33" s="55">
        <v>3421680</v>
      </c>
      <c r="N33" s="55">
        <v>5271247</v>
      </c>
      <c r="O33" s="61">
        <f t="shared" si="3"/>
        <v>9367571</v>
      </c>
      <c r="P33" s="65">
        <f t="shared" si="4"/>
        <v>25897145</v>
      </c>
    </row>
    <row r="34" spans="1:16" s="7" customFormat="1" ht="15.75" x14ac:dyDescent="0.25">
      <c r="A34" s="3" t="s">
        <v>78</v>
      </c>
      <c r="B34" s="55">
        <v>0</v>
      </c>
      <c r="C34" s="55">
        <v>0</v>
      </c>
      <c r="D34" s="55">
        <v>0</v>
      </c>
      <c r="E34" s="55">
        <v>0</v>
      </c>
      <c r="F34" s="55">
        <v>33715</v>
      </c>
      <c r="G34" s="55">
        <v>0</v>
      </c>
      <c r="H34" s="55">
        <v>99270.2</v>
      </c>
      <c r="I34" s="55">
        <v>0</v>
      </c>
      <c r="J34" s="55">
        <v>0</v>
      </c>
      <c r="K34" s="55">
        <v>2163326</v>
      </c>
      <c r="L34" s="55">
        <v>0</v>
      </c>
      <c r="M34" s="55">
        <v>0</v>
      </c>
      <c r="N34" s="55">
        <v>0</v>
      </c>
      <c r="O34" s="61">
        <f t="shared" si="3"/>
        <v>0</v>
      </c>
      <c r="P34" s="65">
        <f t="shared" si="4"/>
        <v>2296311.2000000002</v>
      </c>
    </row>
    <row r="35" spans="1:16" s="7" customFormat="1" ht="15.75" x14ac:dyDescent="0.25">
      <c r="A35" s="3" t="s">
        <v>83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61">
        <f t="shared" si="3"/>
        <v>0</v>
      </c>
      <c r="P35" s="65">
        <f t="shared" si="4"/>
        <v>0</v>
      </c>
    </row>
    <row r="36" spans="1:16" s="7" customFormat="1" ht="15.75" x14ac:dyDescent="0.25">
      <c r="A36" s="3" t="s">
        <v>82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79">
        <v>0</v>
      </c>
      <c r="I36" s="7">
        <v>0</v>
      </c>
      <c r="J36" s="55">
        <v>52346</v>
      </c>
      <c r="K36" s="55">
        <v>0</v>
      </c>
      <c r="L36" s="55">
        <v>0</v>
      </c>
      <c r="M36" s="55">
        <v>0</v>
      </c>
      <c r="N36" s="55">
        <v>0</v>
      </c>
      <c r="O36" s="61">
        <f t="shared" si="3"/>
        <v>0</v>
      </c>
      <c r="P36" s="65">
        <f t="shared" si="4"/>
        <v>52346</v>
      </c>
    </row>
    <row r="37" spans="1:16" s="7" customFormat="1" ht="15.75" x14ac:dyDescent="0.25">
      <c r="A37" s="3" t="s">
        <v>81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29491</v>
      </c>
      <c r="I37" s="55">
        <v>16838</v>
      </c>
      <c r="J37" s="55">
        <v>11059</v>
      </c>
      <c r="K37" s="55">
        <v>0</v>
      </c>
      <c r="L37" s="55">
        <v>0</v>
      </c>
      <c r="M37" s="55">
        <v>0</v>
      </c>
      <c r="N37" s="55">
        <v>0</v>
      </c>
      <c r="O37" s="61">
        <f t="shared" si="3"/>
        <v>0</v>
      </c>
      <c r="P37" s="65">
        <f t="shared" si="4"/>
        <v>57388</v>
      </c>
    </row>
    <row r="38" spans="1:16" s="7" customFormat="1" ht="15.75" x14ac:dyDescent="0.25">
      <c r="A38" s="8" t="s">
        <v>6</v>
      </c>
      <c r="B38" s="62">
        <f t="shared" ref="B38:N38" si="5">SUM(B21:B37)</f>
        <v>1804339.3800000001</v>
      </c>
      <c r="C38" s="62">
        <f t="shared" si="5"/>
        <v>342232.08999999997</v>
      </c>
      <c r="D38" s="62">
        <f t="shared" si="5"/>
        <v>645961.61</v>
      </c>
      <c r="E38" s="62">
        <f t="shared" si="5"/>
        <v>879085.67999999993</v>
      </c>
      <c r="F38" s="62">
        <f t="shared" si="5"/>
        <v>66795</v>
      </c>
      <c r="G38" s="62">
        <f t="shared" si="5"/>
        <v>15891054.970000001</v>
      </c>
      <c r="H38" s="62">
        <f t="shared" si="5"/>
        <v>8697793.5099999998</v>
      </c>
      <c r="I38" s="62">
        <f t="shared" si="5"/>
        <v>82548</v>
      </c>
      <c r="J38" s="62">
        <f t="shared" si="5"/>
        <v>2378223.4699999997</v>
      </c>
      <c r="K38" s="62">
        <f t="shared" si="5"/>
        <v>4421173.3600000003</v>
      </c>
      <c r="L38" s="62">
        <f t="shared" si="5"/>
        <v>1087657.58</v>
      </c>
      <c r="M38" s="62">
        <f t="shared" si="5"/>
        <v>3563384</v>
      </c>
      <c r="N38" s="62">
        <f t="shared" si="5"/>
        <v>5297104</v>
      </c>
      <c r="O38" s="63">
        <f>SUM(O21:O37)</f>
        <v>9948145.5800000001</v>
      </c>
      <c r="P38" s="64">
        <f>SUM(P21:P37)</f>
        <v>43353013.270000003</v>
      </c>
    </row>
    <row r="42" spans="1:16" ht="17.649999999999999" customHeight="1" x14ac:dyDescent="0.25"/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CA05-D685-48BB-9CEB-8D435A71F104}">
  <dimension ref="A1:O10"/>
  <sheetViews>
    <sheetView zoomScaleNormal="100" workbookViewId="0"/>
  </sheetViews>
  <sheetFormatPr defaultRowHeight="15" x14ac:dyDescent="0.25"/>
  <cols>
    <col min="1" max="1" width="13.140625" bestFit="1" customWidth="1"/>
    <col min="2" max="2" width="12.7109375" customWidth="1"/>
    <col min="3" max="3" width="11.42578125" customWidth="1"/>
    <col min="4" max="4" width="12.5703125" customWidth="1"/>
    <col min="5" max="5" width="11.5703125" customWidth="1"/>
    <col min="6" max="6" width="9.7109375" bestFit="1" customWidth="1"/>
    <col min="7" max="7" width="10.7109375" customWidth="1"/>
    <col min="8" max="9" width="11.5703125" customWidth="1"/>
    <col min="10" max="10" width="10.5703125" bestFit="1" customWidth="1"/>
    <col min="11" max="11" width="12.5703125" customWidth="1"/>
    <col min="12" max="12" width="12.42578125" customWidth="1"/>
    <col min="13" max="13" width="21.7109375" bestFit="1" customWidth="1"/>
    <col min="14" max="14" width="15.5703125" customWidth="1"/>
    <col min="15" max="15" width="11.5703125" bestFit="1" customWidth="1"/>
  </cols>
  <sheetData>
    <row r="1" spans="1:15" ht="30" x14ac:dyDescent="0.25">
      <c r="A1" s="22" t="s">
        <v>24</v>
      </c>
      <c r="B1" s="80" t="s">
        <v>21</v>
      </c>
      <c r="C1" s="80"/>
      <c r="D1" s="81"/>
      <c r="E1" s="92" t="s">
        <v>47</v>
      </c>
      <c r="F1" s="93"/>
      <c r="G1" s="93"/>
      <c r="H1" s="93"/>
      <c r="I1" s="93"/>
      <c r="J1" s="94"/>
      <c r="K1" s="67" t="s">
        <v>27</v>
      </c>
      <c r="L1" s="38" t="s">
        <v>60</v>
      </c>
      <c r="M1" s="73" t="s">
        <v>65</v>
      </c>
      <c r="N1" s="82" t="s">
        <v>19</v>
      </c>
    </row>
    <row r="2" spans="1:15" ht="30" x14ac:dyDescent="0.25">
      <c r="A2" s="20" t="s">
        <v>13</v>
      </c>
      <c r="B2" s="81" t="s">
        <v>51</v>
      </c>
      <c r="C2" s="88"/>
      <c r="D2" s="88"/>
      <c r="E2" s="92" t="s">
        <v>14</v>
      </c>
      <c r="F2" s="93"/>
      <c r="G2" s="93"/>
      <c r="H2" s="93"/>
      <c r="I2" s="93"/>
      <c r="J2" s="94"/>
      <c r="K2" s="68" t="s">
        <v>28</v>
      </c>
      <c r="L2" s="39"/>
      <c r="M2" s="73" t="s">
        <v>66</v>
      </c>
      <c r="N2" s="83"/>
    </row>
    <row r="3" spans="1:15" ht="45" x14ac:dyDescent="0.25">
      <c r="A3" s="20" t="s">
        <v>23</v>
      </c>
      <c r="B3" s="28" t="s">
        <v>15</v>
      </c>
      <c r="C3" s="28" t="s">
        <v>16</v>
      </c>
      <c r="D3" s="28" t="s">
        <v>62</v>
      </c>
      <c r="E3" s="70" t="s">
        <v>17</v>
      </c>
      <c r="F3" s="70" t="s">
        <v>29</v>
      </c>
      <c r="G3" s="70" t="s">
        <v>59</v>
      </c>
      <c r="H3" s="70" t="s">
        <v>18</v>
      </c>
      <c r="I3" s="70" t="s">
        <v>57</v>
      </c>
      <c r="J3" s="70" t="s">
        <v>48</v>
      </c>
      <c r="K3" s="20" t="s">
        <v>76</v>
      </c>
      <c r="L3" s="38"/>
      <c r="M3" s="73" t="s">
        <v>67</v>
      </c>
      <c r="N3" s="83"/>
    </row>
    <row r="4" spans="1:15" ht="60" x14ac:dyDescent="0.25">
      <c r="A4" s="20" t="s">
        <v>22</v>
      </c>
      <c r="B4" s="40" t="s">
        <v>61</v>
      </c>
      <c r="C4" s="85" t="s">
        <v>63</v>
      </c>
      <c r="D4" s="87"/>
      <c r="E4" s="89" t="s">
        <v>69</v>
      </c>
      <c r="F4" s="90"/>
      <c r="G4" s="90"/>
      <c r="H4" s="90"/>
      <c r="I4" s="90"/>
      <c r="J4" s="91"/>
      <c r="K4" s="69"/>
      <c r="L4" s="41"/>
      <c r="M4" s="74" t="s">
        <v>68</v>
      </c>
      <c r="N4" s="83"/>
    </row>
    <row r="5" spans="1:15" ht="30" x14ac:dyDescent="0.25">
      <c r="A5" s="20" t="s">
        <v>20</v>
      </c>
      <c r="B5" s="85" t="s">
        <v>64</v>
      </c>
      <c r="C5" s="86"/>
      <c r="D5" s="87"/>
      <c r="E5" s="95" t="s">
        <v>70</v>
      </c>
      <c r="F5" s="96"/>
      <c r="G5" s="96"/>
      <c r="H5" s="96"/>
      <c r="I5" s="96"/>
      <c r="J5" s="97"/>
      <c r="K5" s="69" t="s">
        <v>73</v>
      </c>
      <c r="L5" s="41"/>
      <c r="M5" s="74" t="s">
        <v>73</v>
      </c>
      <c r="N5" s="84"/>
    </row>
    <row r="6" spans="1:15" ht="30" x14ac:dyDescent="0.25">
      <c r="A6" s="43" t="s">
        <v>79</v>
      </c>
      <c r="B6" s="44">
        <v>6000000</v>
      </c>
      <c r="C6" s="44">
        <v>500000</v>
      </c>
      <c r="D6" s="44">
        <v>200000</v>
      </c>
      <c r="E6" s="72">
        <v>15000000</v>
      </c>
      <c r="F6" s="72">
        <v>1000000</v>
      </c>
      <c r="G6" s="72">
        <v>1000000</v>
      </c>
      <c r="H6" s="72">
        <v>2000000</v>
      </c>
      <c r="I6" s="72">
        <v>10500000</v>
      </c>
      <c r="J6" s="72">
        <v>1000000</v>
      </c>
      <c r="K6" s="49">
        <v>500000</v>
      </c>
      <c r="L6" s="46">
        <v>300000</v>
      </c>
      <c r="M6" s="75">
        <v>2000000</v>
      </c>
      <c r="N6" s="47">
        <f>SUM(B6:M6)</f>
        <v>40000000</v>
      </c>
      <c r="O6" s="71"/>
    </row>
    <row r="7" spans="1:15" ht="30" x14ac:dyDescent="0.25">
      <c r="A7" s="43" t="s">
        <v>84</v>
      </c>
      <c r="B7" s="44">
        <f>B6/4</f>
        <v>1500000</v>
      </c>
      <c r="C7" s="44">
        <f t="shared" ref="C7:L7" si="0">C6/4</f>
        <v>125000</v>
      </c>
      <c r="D7" s="44">
        <f t="shared" si="0"/>
        <v>50000</v>
      </c>
      <c r="E7" s="45">
        <f t="shared" si="0"/>
        <v>3750000</v>
      </c>
      <c r="F7" s="45">
        <f t="shared" si="0"/>
        <v>250000</v>
      </c>
      <c r="G7" s="45">
        <f t="shared" si="0"/>
        <v>250000</v>
      </c>
      <c r="H7" s="45">
        <f t="shared" si="0"/>
        <v>500000</v>
      </c>
      <c r="I7" s="45">
        <f t="shared" si="0"/>
        <v>2625000</v>
      </c>
      <c r="J7" s="45">
        <f>J6/4</f>
        <v>250000</v>
      </c>
      <c r="K7" s="49">
        <f t="shared" si="0"/>
        <v>125000</v>
      </c>
      <c r="L7" s="46">
        <f t="shared" si="0"/>
        <v>75000</v>
      </c>
      <c r="M7" s="75">
        <v>500000</v>
      </c>
      <c r="N7" s="47">
        <f>SUM(B7:L7)</f>
        <v>9500000</v>
      </c>
    </row>
    <row r="8" spans="1:15" ht="30" x14ac:dyDescent="0.25">
      <c r="A8" s="20" t="s">
        <v>85</v>
      </c>
      <c r="B8" s="56">
        <f>'MS Monthly SOR'!O8</f>
        <v>1946611</v>
      </c>
      <c r="C8" s="56">
        <f>'Others-Monthly SOR'!O24</f>
        <v>0</v>
      </c>
      <c r="D8" s="56">
        <f>'Others-Monthly SOR'!O22+'Others-Monthly SOR'!O23</f>
        <v>2669</v>
      </c>
      <c r="E8" s="57">
        <f>'Others-Monthly SOR'!O21</f>
        <v>241302</v>
      </c>
      <c r="F8" s="57">
        <f>'Others-Monthly SOR'!O27</f>
        <v>12972</v>
      </c>
      <c r="G8" s="57">
        <f>'Others-Monthly SOR'!O29</f>
        <v>288123.58</v>
      </c>
      <c r="H8" s="60">
        <f>'Others-Monthly SOR'!O30</f>
        <v>17028</v>
      </c>
      <c r="I8" s="60">
        <f>'Others-Monthly SOR'!O33</f>
        <v>9367571</v>
      </c>
      <c r="J8" s="57">
        <f>'Others-Monthly SOR'!O32</f>
        <v>18480</v>
      </c>
      <c r="K8" s="58">
        <f>'Others-Monthly SOR'!O25</f>
        <v>0</v>
      </c>
      <c r="L8" s="59">
        <f>'Others-Monthly SOR'!O31</f>
        <v>0</v>
      </c>
      <c r="M8" s="76">
        <f>'Others-Monthly SOR'!O26</f>
        <v>0</v>
      </c>
      <c r="N8" s="66">
        <f>SUM(B8:L8)</f>
        <v>11894756.58</v>
      </c>
    </row>
    <row r="9" spans="1:15" x14ac:dyDescent="0.25">
      <c r="A9" s="20" t="s">
        <v>80</v>
      </c>
      <c r="B9" s="56">
        <f>'MS Monthly SOR'!P8</f>
        <v>6835362</v>
      </c>
      <c r="C9" s="56">
        <f>'Others-Monthly SOR'!P24</f>
        <v>1207.7</v>
      </c>
      <c r="D9" s="56">
        <f>'Others-Monthly SOR'!P22+'Others-Monthly SOR'!P23</f>
        <v>295069</v>
      </c>
      <c r="E9" s="57">
        <f>'Others-Monthly SOR'!P21</f>
        <v>4969570.88</v>
      </c>
      <c r="F9" s="57">
        <f>'Others-Monthly SOR'!P27</f>
        <v>273458.28000000003</v>
      </c>
      <c r="G9" s="57">
        <f>'Others-Monthly SOR'!P29</f>
        <v>343532.92000000004</v>
      </c>
      <c r="H9" s="60">
        <f>'Others-Monthly SOR'!P30</f>
        <v>410884.6</v>
      </c>
      <c r="I9" s="60">
        <f>'Others-Monthly SOR'!P33</f>
        <v>25897145</v>
      </c>
      <c r="J9" s="57">
        <f>'Others-Monthly SOR'!P32</f>
        <v>774972</v>
      </c>
      <c r="K9" s="58">
        <f>'Others-Monthly SOR'!O25</f>
        <v>0</v>
      </c>
      <c r="L9" s="59">
        <f>'Others-Monthly SOR'!P31+'Others-Monthly SOR'!P28</f>
        <v>167414.28</v>
      </c>
      <c r="M9" s="76">
        <f>'Others-Monthly SOR'!P26</f>
        <v>7541313.4100000001</v>
      </c>
      <c r="N9" s="66">
        <f>SUM(B9:M9)</f>
        <v>47509930.069999993</v>
      </c>
    </row>
    <row r="10" spans="1:15" ht="45" x14ac:dyDescent="0.25">
      <c r="A10" s="20" t="s">
        <v>86</v>
      </c>
      <c r="B10" s="42">
        <f>B8/B7</f>
        <v>1.2977406666666667</v>
      </c>
      <c r="C10" s="42">
        <f t="shared" ref="C10:N10" si="1">C8/C7</f>
        <v>0</v>
      </c>
      <c r="D10" s="42">
        <f t="shared" si="1"/>
        <v>5.3379999999999997E-2</v>
      </c>
      <c r="E10" s="48">
        <f t="shared" si="1"/>
        <v>6.4347199999999993E-2</v>
      </c>
      <c r="F10" s="48">
        <f t="shared" si="1"/>
        <v>5.1887999999999997E-2</v>
      </c>
      <c r="G10" s="48">
        <f t="shared" si="1"/>
        <v>1.15249432</v>
      </c>
      <c r="H10" s="48">
        <f t="shared" si="1"/>
        <v>3.4056000000000003E-2</v>
      </c>
      <c r="I10" s="48">
        <f t="shared" si="1"/>
        <v>3.5685984761904761</v>
      </c>
      <c r="J10" s="48">
        <f>J8/J7</f>
        <v>7.392E-2</v>
      </c>
      <c r="K10" s="50">
        <f t="shared" si="1"/>
        <v>0</v>
      </c>
      <c r="L10" s="51">
        <f t="shared" si="1"/>
        <v>0</v>
      </c>
      <c r="M10" s="77">
        <f>M8/M7</f>
        <v>0</v>
      </c>
      <c r="N10" s="42">
        <f t="shared" si="1"/>
        <v>1.25207964</v>
      </c>
    </row>
  </sheetData>
  <mergeCells count="9">
    <mergeCell ref="B1:D1"/>
    <mergeCell ref="N1:N5"/>
    <mergeCell ref="B5:D5"/>
    <mergeCell ref="B2:D2"/>
    <mergeCell ref="E4:J4"/>
    <mergeCell ref="E1:J1"/>
    <mergeCell ref="E2:J2"/>
    <mergeCell ref="E5:J5"/>
    <mergeCell ref="C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overview</vt:lpstr>
      <vt:lpstr>MS Monthly SOR</vt:lpstr>
      <vt:lpstr>Others-Monthly SOR</vt:lpstr>
      <vt:lpstr>2026 Goal</vt:lpstr>
    </vt:vector>
  </TitlesOfParts>
  <Company>Super Micro Computers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Stanley Huang (Purchasing)</cp:lastModifiedBy>
  <dcterms:created xsi:type="dcterms:W3CDTF">2019-11-02T00:40:24Z</dcterms:created>
  <dcterms:modified xsi:type="dcterms:W3CDTF">2026-09-19T00:21:53Z</dcterms:modified>
</cp:coreProperties>
</file>